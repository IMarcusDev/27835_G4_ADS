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DYNABOOK\Downloads\"/>
    </mc:Choice>
  </mc:AlternateContent>
  <xr:revisionPtr revIDLastSave="0" documentId="8_{E11ACE0A-0AA0-497A-B578-42CFBB3A1CF8}" xr6:coauthVersionLast="47" xr6:coauthVersionMax="47" xr10:uidLastSave="{00000000-0000-0000-0000-000000000000}"/>
  <bookViews>
    <workbookView xWindow="-110" yWindow="-110" windowWidth="19420" windowHeight="11020" firstSheet="1" activeTab="3" xr2:uid="{00000000-000D-0000-FFFF-FFFF00000000}"/>
  </bookViews>
  <sheets>
    <sheet name="Backlog" sheetId="1" r:id="rId1"/>
    <sheet name="sprint3" sheetId="6" r:id="rId2"/>
    <sheet name="sprint2" sheetId="5" r:id="rId3"/>
    <sheet name="sprint1" sheetId="4" r:id="rId4"/>
    <sheet name="sprint0" sheetId="2" r:id="rId5"/>
    <sheet name="burdonchart"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WtFQ1tWv0Sg2ONoGucA39mJyVyp+tZEzqkOZStHocs="/>
    </ext>
  </extLst>
</workbook>
</file>

<file path=xl/calcChain.xml><?xml version="1.0" encoding="utf-8"?>
<calcChain xmlns="http://schemas.openxmlformats.org/spreadsheetml/2006/main">
  <c r="M57" i="4" l="1"/>
  <c r="K53" i="4"/>
  <c r="K35" i="4"/>
  <c r="K18" i="4"/>
  <c r="L58" i="5"/>
  <c r="K13" i="5"/>
  <c r="K25" i="5"/>
  <c r="K54" i="5"/>
  <c r="K39" i="5"/>
  <c r="L67" i="6"/>
  <c r="K64" i="6"/>
  <c r="K51" i="6"/>
  <c r="K38" i="6"/>
  <c r="K25" i="6"/>
  <c r="K13" i="6"/>
  <c r="C122" i="3"/>
  <c r="H123" i="3"/>
  <c r="G123" i="3"/>
  <c r="F123" i="3"/>
  <c r="C123" i="3"/>
  <c r="D123" i="3"/>
  <c r="E123" i="3" s="1"/>
  <c r="D122" i="3"/>
  <c r="E122" i="3"/>
  <c r="F122" i="3"/>
  <c r="G122" i="3" s="1"/>
  <c r="H122" i="3" s="1"/>
  <c r="J120" i="3"/>
  <c r="I4"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L69" i="2"/>
  <c r="K14" i="2"/>
  <c r="K66" i="2"/>
  <c r="K53" i="2"/>
  <c r="K39" i="2"/>
  <c r="K26" i="2"/>
  <c r="I5" i="3"/>
</calcChain>
</file>

<file path=xl/sharedStrings.xml><?xml version="1.0" encoding="utf-8"?>
<sst xmlns="http://schemas.openxmlformats.org/spreadsheetml/2006/main" count="1209" uniqueCount="421">
  <si>
    <t>ID</t>
  </si>
  <si>
    <t>Tema</t>
  </si>
  <si>
    <t>Como un..</t>
  </si>
  <si>
    <t>necesito</t>
  </si>
  <si>
    <t>asi podre...</t>
  </si>
  <si>
    <t>notas</t>
  </si>
  <si>
    <t>prioridad</t>
  </si>
  <si>
    <t>estatus</t>
  </si>
  <si>
    <t>RF001</t>
  </si>
  <si>
    <t>Registrar Usuario</t>
  </si>
  <si>
    <t>Padre o docente</t>
  </si>
  <si>
    <t>Registrarse ingresando datos personales y rol.</t>
  </si>
  <si>
    <t>Crear una cuenta única para acceder a los servicios de la app.</t>
  </si>
  <si>
    <t>Es crítico informar claramente al usuario si el correo ya está en uso para evitar confusión, y asegurar que la contraseña nunca viaje en texto plano.</t>
  </si>
  <si>
    <t>Alta</t>
  </si>
  <si>
    <t>Terminado</t>
  </si>
  <si>
    <t>RF002</t>
  </si>
  <si>
    <t>Iniciar Sesión</t>
  </si>
  <si>
    <t>Ingresar credenciales (correo/contraseña)</t>
  </si>
  <si>
    <t>Autenticarse de forma segura y acceder a las funciones propias de mi rol.</t>
  </si>
  <si>
    <t>Por seguridad, los mensajes de error no deben especificar si falló el correo o la contraseña para prevenir ataques de enumeración de usuarios.</t>
  </si>
  <si>
    <t>RF003</t>
  </si>
  <si>
    <t>Realizar Prueba de Conocimiento</t>
  </si>
  <si>
    <t>Padre</t>
  </si>
  <si>
    <t>Realizar prueba de conocimiento inicial (Cuestionario).</t>
  </si>
  <si>
    <t>Determinar mi nivel (Principiante/Intermedio) y categoría etaria para personalizar el contenido.</t>
  </si>
  <si>
    <t>Este cuestionario es un paso obligatorio en el primer acceso; se debe asegurar que el usuario no pueda navegar a otras secciones sin completarlo.</t>
  </si>
  <si>
    <t>RF004</t>
  </si>
  <si>
    <t>Importar Contenido</t>
  </si>
  <si>
    <t>Docente</t>
  </si>
  <si>
    <t>Subir videos e imágenes con sus respectivos metadatos.</t>
  </si>
  <si>
    <t>Poblar el sistema con lecciones estructuradas para el aprendizaje de los padres.</t>
  </si>
  <si>
    <t>Dado el tamaño de los archivos, es importante mostrar una barra de progreso real para evitar que el usuario piense que el sistema se congeló.</t>
  </si>
  <si>
    <t>RF005</t>
  </si>
  <si>
    <t>Categorizar Frases Comunes</t>
  </si>
  <si>
    <t>Navegar un diccionario categorizado de frases comunes.</t>
  </si>
  <si>
    <t>Consultar señas rápidas (baño, comer) sin necesidad de entrar a una lección.</t>
  </si>
  <si>
    <t>Los videos en esta sección deben ser cortos y reproducirse en bucle automáticamente para funcionar como una referencia rápida y ágil.</t>
  </si>
  <si>
    <t>RF006</t>
  </si>
  <si>
    <t>Generar Código de Clase</t>
  </si>
  <si>
    <t>Generar un código único para una nueva clase.</t>
  </si>
  <si>
    <t>Compartir el acceso de manera sencilla y agrupar a los padres en una lista de seguimiento.</t>
  </si>
  <si>
    <t>El código generado debe ser fácil de leer y dictar, evitando caracteres ambiguos como la 'O' y el '0' o la 'I' y el '1'.</t>
  </si>
  <si>
    <t>RF007</t>
  </si>
  <si>
    <t>Enlazar Clase</t>
  </si>
  <si>
    <t>Ingresar el código de clase proporcionado por el docente.</t>
  </si>
  <si>
    <t>Desbloquear los contenidos asignados y permitir el seguimiento del docente.</t>
  </si>
  <si>
    <t>Se debe considerar que, en esta versión, un padre solo puede pertenecer a una clase activa a la vez para no fragmentar el reporte de progreso.</t>
  </si>
  <si>
    <t>RF008</t>
  </si>
  <si>
    <t>Categorizar Aprendizaje de Señas</t>
  </si>
  <si>
    <t>Ver contenidos filtrados por la edad del hijo (1-3, 3-5 años).</t>
  </si>
  <si>
    <t>Acceder solo al material relevante para mi contexto familiar y nivel educativo.</t>
  </si>
  <si>
    <t>Si una categoría aún no tiene contenido cargado por el docente, el sistema debe ocultarla o mostrar un mensaje amigable de "Próximamente".</t>
  </si>
  <si>
    <t>RF008.1</t>
  </si>
  <si>
    <t>Practicar Señas en Nivel Principiante</t>
  </si>
  <si>
    <t>Visualizar contenido de nivel principiante (videos e imágenes).</t>
  </si>
  <si>
    <t>Familiarizarse con el vocabulario básico y señas fundamentales.</t>
  </si>
  <si>
    <t>Es importante implementar "Lazy Loading" en las imágenes para no saturar la memoria del dispositivo al cargar la lista.</t>
  </si>
  <si>
    <t>RF008.2</t>
  </si>
  <si>
    <t>Practicar Señas en Nivel Intermedio</t>
  </si>
  <si>
    <t>Practicar señas en nivel intermedio con selección y asociación.</t>
  </si>
  <si>
    <t>Reforzar la memoria visual y la relación concepto-seña.</t>
  </si>
  <si>
    <t>Este módulo actúa como contenedor de los ejercicios RF008.2.1 y RF008.2.2; su correcta navegación es vital.</t>
  </si>
  <si>
    <t>RF008.2.1</t>
  </si>
  <si>
    <t>Seleccionar Seña Correcta</t>
  </si>
  <si>
    <t>Seleccionar la palabra correcta correspondiente a un video de seña.</t>
  </si>
  <si>
    <t>Validar si reconozco visualmente el vocabulario aprendido en la lección.</t>
  </si>
  <si>
    <t>Las opciones de respuesta deben ordenarse aleatoriamente en cada intento para evitar que el usuario memorice la posición en lugar del concepto.</t>
  </si>
  <si>
    <t>RF008.2.2</t>
  </si>
  <si>
    <t>Practicar Señas por Asociación Visual</t>
  </si>
  <si>
    <t>Arrastrar imágenes hacia sus etiquetas de texto correspondientes.</t>
  </si>
  <si>
    <t>Reforzar la conexión mental entre la imagen de la seña y la palabra escrita.</t>
  </si>
  <si>
    <t>Es vital que la zona táctil de arrastre sea lo suficientemente grande para asegurar la usabilidad en pantallas de móviles pequeñas.</t>
  </si>
  <si>
    <t>RF008.3</t>
  </si>
  <si>
    <t>Practicar Señas en Nivel Avanzado</t>
  </si>
  <si>
    <t>Practicar señas en nivel avanzado con uso de cámara.</t>
  </si>
  <si>
    <t>Perfeccionar la técnica y fluidez mediante la imitación y producción de señas.</t>
  </si>
  <si>
    <t>Este nivel requiere mayor procesamiento del dispositivo; se debe advertir al usuario si su batería es baja</t>
  </si>
  <si>
    <t>RF008.3.1</t>
  </si>
  <si>
    <t>Practicar Señas con Ejemplo Visual</t>
  </si>
  <si>
    <t>Imitar una seña frente a la cámara con guía visual en pantalla.</t>
  </si>
  <si>
    <t>Verificar si mi ejecución física de la seña es correcta mediante comparación.</t>
  </si>
  <si>
    <t>La funcionalidad depende de la iluminación ambiental; el sistema debe advertir al usuario si la cámara detecta oscuridad excesiva.</t>
  </si>
  <si>
    <t>No iniciado</t>
  </si>
  <si>
    <t>RF008.3.2</t>
  </si>
  <si>
    <t>Practicar Imitación de Señas con Audio</t>
  </si>
  <si>
    <t>Escuchar un audio e imitar la seña correspondiente frente a la cámara.</t>
  </si>
  <si>
    <t>Evaluar la memoria auditiva y la ejecución de la seña sin ver el ejemplo visual.</t>
  </si>
  <si>
    <t>Se debe verificar que el volumen del dispositivo no esté en silencio antes de iniciar para asegurar que el usuario escuche la instrucción.</t>
  </si>
  <si>
    <t>RF009</t>
  </si>
  <si>
    <t>Visualizar Progreso</t>
  </si>
  <si>
    <t>Visualizar gráficos de progreso y errores de los padres alumnos.</t>
  </si>
  <si>
    <t>Identificar qué estudiantes necesitan refuerzo en temas específicos.</t>
  </si>
  <si>
    <t>Los gráficos deben ser claros y sencillos; un exceso de información visual puede dificultar la interpretación rápida por parte del docente.</t>
  </si>
  <si>
    <t>RF010</t>
  </si>
  <si>
    <t>Ver Historial de Palabras Aprendidas</t>
  </si>
  <si>
    <t>Ver el historial detallado de palabras aprendidas por el estudiante.</t>
  </si>
  <si>
    <t>Conocer el léxico efectivo que el padre ya maneja para personalizar futuras prácticas.</t>
  </si>
  <si>
    <t>La lista de palabras puede crecer considerablemente con el tiempo; se debe considerar implementar paginación o un botón de "Ver más" si excede cierto número.</t>
  </si>
  <si>
    <t>RF011</t>
  </si>
  <si>
    <t xml:space="preserve">Comprar Membresía </t>
  </si>
  <si>
    <t>Comprar membresía mediante pago online con tarjeta.</t>
  </si>
  <si>
    <t>Acceder a las herramientas exclusivas como el traductor y juegos avanzados.</t>
  </si>
  <si>
    <t>No se deben almacenar datos completos de las tarjetas de crédito en la aplicación; toda transacción sensible debe delegarse a la pasarela segura.</t>
  </si>
  <si>
    <t>RF012</t>
  </si>
  <si>
    <t xml:space="preserve">Acceder a Contenido Exclusivo </t>
  </si>
  <si>
    <t>Validar el acceso a contenido exclusivo (Traductor/Juegos).</t>
  </si>
  <si>
    <t>Restringir las funciones avanzadas y garantizar la monetización del servicio.</t>
  </si>
  <si>
    <t>La validación debe ser extremadamente rápida para no afectar la experiencia del usuario Premium; se recomienda guardar el estado de la suscripción en el almacenamiento local seguro.</t>
  </si>
  <si>
    <t>RF012.1</t>
  </si>
  <si>
    <t>Traducir Texto Breve</t>
  </si>
  <si>
    <t>Padre (Premiun)</t>
  </si>
  <si>
    <t>Escribir un texto breve y ver su traducción a señas.</t>
  </si>
  <si>
    <t>Comunicarme en tiempo real traduciendo frases nuevas que no están en las lecciones.</t>
  </si>
  <si>
    <t>Es importante notificar al usuario cuando la palabra no existe y se usa el deletreo, para que sepa que está viendo letras y no una seña completa.</t>
  </si>
  <si>
    <t>RF012.2</t>
  </si>
  <si>
    <t>Enseñar con Aprendizaje Dinámico</t>
  </si>
  <si>
    <t>Enseñar con aprendizaje dinámico (Juegos).</t>
  </si>
  <si>
    <t>Mantener el interés mediante actividades lúdicas gamificadas.</t>
  </si>
  <si>
    <t>Esta sección es exclusiva de usuarios Premium; debe validarse el estado de la suscripción antes de entrar.</t>
  </si>
  <si>
    <t>RF012.3</t>
  </si>
  <si>
    <t>Enseñar con Juegos de Memoria</t>
  </si>
  <si>
    <t>Enseñar con juegos de memoria reconociendo señas.</t>
  </si>
  <si>
    <t>Evaluar la velocidad y precisión de reconocimiento en un entorno de juego</t>
  </si>
  <si>
    <t>Diferenciar visualmente del ejercicio de práctica normal (usar sonidos de juego, confeti, barras de vida).</t>
  </si>
  <si>
    <t>RF012.4</t>
  </si>
  <si>
    <t xml:space="preserve">Enseñar con Juegos de Imitación de Señas </t>
  </si>
  <si>
    <t>Enseñar con juegos de imitación de señas.</t>
  </si>
  <si>
    <t>Gamificar la producción de señas mediante retos de imitación.</t>
  </si>
  <si>
    <t>Requiere alta optimización del modelo de reconocimiento para no tener latencia (lag) durante el juego rápido.</t>
  </si>
  <si>
    <t>RF013</t>
  </si>
  <si>
    <t xml:space="preserve">Filtrar Contenido </t>
  </si>
  <si>
    <t>Filtrar contenido escribiendo palabras clave en un buscador.</t>
  </si>
  <si>
    <t>Encontrar una lección o seña específica rápidamente.</t>
  </si>
  <si>
    <t>El buscador debe ser insensible a mayúsculas, minúsculas y tildes para facilitar su uso a personas con distintos niveles de alfabetización.</t>
  </si>
  <si>
    <t>RF014</t>
  </si>
  <si>
    <t xml:space="preserve">Descargar Contenido del Sistema </t>
  </si>
  <si>
    <t>Descargar módulos completos al almacenamiento local del dispositivo.</t>
  </si>
  <si>
    <t>Estudiar y practicar en zonas sin conexión a internet.</t>
  </si>
  <si>
    <t>Es fundamental verificar el espacio disponible en el dispositivo antes de iniciar la descarga para evitar errores o corrupción de archivos.</t>
  </si>
  <si>
    <t>RF015</t>
  </si>
  <si>
    <t>Asistente de Navegación</t>
  </si>
  <si>
    <t>Padre (Nuevo)</t>
  </si>
  <si>
    <t>Ver una guía interactiva durante el primer inicio de sesión.</t>
  </si>
  <si>
    <t>Entender rápidamente cómo enlazar una clase y empezar a usar la app.</t>
  </si>
  <si>
    <t>La guía debe ser opcional; el usuario debe tener siempre un botón visible para "Omitir" si prefiere explorar la aplicación por su cuenta.</t>
  </si>
  <si>
    <t>Necesito</t>
  </si>
  <si>
    <t>así podre...</t>
  </si>
  <si>
    <t>Encargado</t>
  </si>
  <si>
    <t>Prioridad</t>
  </si>
  <si>
    <t>Status</t>
  </si>
  <si>
    <t>Marcos Escobar</t>
  </si>
  <si>
    <t>Tareas</t>
  </si>
  <si>
    <t>Estimado</t>
  </si>
  <si>
    <t>RF011 - 1</t>
  </si>
  <si>
    <t>RF011.1 - Diseño de la interfaz de planes y precios</t>
  </si>
  <si>
    <t>Mateo Sosa</t>
  </si>
  <si>
    <t>RF011 - 2</t>
  </si>
  <si>
    <t>RF011.2 - Integración con pasarela de pago (Stripe)</t>
  </si>
  <si>
    <t>RF011 - 3</t>
  </si>
  <si>
    <t>RF011.3 - Implementación del modelo de suscripción</t>
  </si>
  <si>
    <t>RF011 - 4</t>
  </si>
  <si>
    <t>RF011.4 - Lógica de verificación de estado premium</t>
  </si>
  <si>
    <t>Fernando Tipán</t>
  </si>
  <si>
    <t>RF011 - 5</t>
  </si>
  <si>
    <t>RF011.5 - Pantallas de confirmación y recibos</t>
  </si>
  <si>
    <t>RF011 - 6</t>
  </si>
  <si>
    <t>RF011.6 - Testing de flujo completo de pago</t>
  </si>
  <si>
    <t>RF012 - 1</t>
  </si>
  <si>
    <t>RF012.1 - Diseño de UI para contenido premium vs free</t>
  </si>
  <si>
    <t>RF012 - 2</t>
  </si>
  <si>
    <t>RF012.2 - Middleware de verificación de suscripción</t>
  </si>
  <si>
    <t>RF012 - 3</t>
  </si>
  <si>
    <t>RF012.3 - Sistema de bloqueo/desbloqueo de contenido</t>
  </si>
  <si>
    <t>RF012 - 4</t>
  </si>
  <si>
    <t>RF012.4 - Indicadores visuales de contenido premium</t>
  </si>
  <si>
    <t>RF012 - 5</t>
  </si>
  <si>
    <t>RF012.5 - Sincronización de acceso entre dispositivos</t>
  </si>
  <si>
    <t>RF012.1 - 1</t>
  </si>
  <si>
    <t>RF012.1.1 - Diseño de interfaz del traductor de texto</t>
  </si>
  <si>
    <t>RF012.1 - 2</t>
  </si>
  <si>
    <t>RF012.1.2 - Integración de API de traducción LSE</t>
  </si>
  <si>
    <t>RF012.1 - 3</t>
  </si>
  <si>
    <t>RF012.1.3 - Motor de conversión texto → señas</t>
  </si>
  <si>
    <t>RF012.1 - 4</t>
  </si>
  <si>
    <t>RF012.1.4 - Animación de señas para frases cortas</t>
  </si>
  <si>
    <t>RF012.1 - 5</t>
  </si>
  <si>
    <t>RF012.1.5 - Validación de límite de caracteres premium</t>
  </si>
  <si>
    <t>RF012.1 - 6</t>
  </si>
  <si>
    <t>RF012.1.6 - Pruebas de precisión de traducción</t>
  </si>
  <si>
    <t>RF012.3 - 1</t>
  </si>
  <si>
    <t>RF012.3.1 - Diseño de mecánicas del juego de memoria</t>
  </si>
  <si>
    <t>RF012.3 - 2</t>
  </si>
  <si>
    <t>RF012.3.2 - Implementación de lógica de emparejamiento</t>
  </si>
  <si>
    <t>RF012.3 - 3</t>
  </si>
  <si>
    <t>RF012.3.3 - Sistema de puntuación y niveles</t>
  </si>
  <si>
    <t>RF012.3 - 4</t>
  </si>
  <si>
    <t>RF012.3.4 - Animaciones y efectos de juego</t>
  </si>
  <si>
    <t>RF012.3 - 5</t>
  </si>
  <si>
    <t>RF012.3.5 - Integración con sistema de progreso</t>
  </si>
  <si>
    <t>RF012.3 - 6</t>
  </si>
  <si>
    <t>RF012.3.6 - Testing de usabilidad y dificultad adaptativa</t>
  </si>
  <si>
    <t>RF013 - 1</t>
  </si>
  <si>
    <t>RF013.1 - Diseño de componentes de filtrado avanzado</t>
  </si>
  <si>
    <t>RF013 - 2</t>
  </si>
  <si>
    <t>RF013.2 - Implementación de filtros por categoría</t>
  </si>
  <si>
    <t>RF013 - 3</t>
  </si>
  <si>
    <t>RF013.3 - Filtros por nivel de dificultad y edad</t>
  </si>
  <si>
    <t>RF013 - 4</t>
  </si>
  <si>
    <t>RF013.4 - Búsqueda por palabras clave y tags</t>
  </si>
  <si>
    <t>RF013 - 5</t>
  </si>
  <si>
    <t>RF013.5 - Optimización de queries y caché</t>
  </si>
  <si>
    <t>RF013 - 6</t>
  </si>
  <si>
    <t>RF013.6 - Pruebas de rendimiento con grandes datasets</t>
  </si>
  <si>
    <t>Total Horas</t>
  </si>
  <si>
    <t>RF008.1 - 1</t>
  </si>
  <si>
    <t>RF008.1-1 – Diseño del contenido pedagógico del nivel principiante</t>
  </si>
  <si>
    <t>RF008.1 - 2</t>
  </si>
  <si>
    <t>RF008.1-2 – Seeding de contenidos y videos cortos en base de datos</t>
  </si>
  <si>
    <t>RF008.1 - 3</t>
  </si>
  <si>
    <t>RF008.1-3 – Configuración de la estructura de almacenamiento de recursos</t>
  </si>
  <si>
    <t>RF008.1 - 4</t>
  </si>
  <si>
    <t>RF008.1-4 – Desarrollo de la UI de tarjetas flash para el nivel principiante</t>
  </si>
  <si>
    <t>RF008.1 - 5</t>
  </si>
  <si>
    <t>RF008.1-5 – Integración frontend–backend del nivel principiante</t>
  </si>
  <si>
    <t>RF008.1 - 6</t>
  </si>
  <si>
    <t>RF008.1-6 – Pruebas funcionales y ajustes del nivel principiante</t>
  </si>
  <si>
    <t>RF008.2 - 1</t>
  </si>
  <si>
    <t>RF008.2-1 – Diseño de reglas semánticas para sinónimos y contexto</t>
  </si>
  <si>
    <t>RF008.2 - 2</t>
  </si>
  <si>
    <t>RF008.2-2 – Implementación de la lógica de sinónimos y contexto</t>
  </si>
  <si>
    <t>RF008.2 - 3</t>
  </si>
  <si>
    <t>RF008.2-3 – Desarrollo del contenido del nivel intermedio</t>
  </si>
  <si>
    <t>RF008.2 - 4</t>
  </si>
  <si>
    <t>RF008.2-4 – Desarrollo de la UI de doble panel (video + contexto)</t>
  </si>
  <si>
    <t>RF008.2 - 5</t>
  </si>
  <si>
    <t>RF008.2-5 – Integración de contenido y lógica contextual</t>
  </si>
  <si>
    <t>RF008.2 - 6</t>
  </si>
  <si>
    <t>RF008.2-6 – Pruebas funcionales del nivel intermedio</t>
  </si>
  <si>
    <t>RF008.3 - 1</t>
  </si>
  <si>
    <t>RF008.3-1 – Diseño del contenido conversacional del nivel avanzado</t>
  </si>
  <si>
    <t>RF008.3 - 2</t>
  </si>
  <si>
    <t>RF008.3-2 – Implementación del sistema de streaming para videos largos</t>
  </si>
  <si>
    <t>RF008.3 - 3</t>
  </si>
  <si>
    <t>RF008.3-3 – Desarrollo del contenido audiovisual avanzado</t>
  </si>
  <si>
    <t>RF008.3 - 4</t>
  </si>
  <si>
    <t>RF008.3-4 – Implementación de controles de velocidad de reproducción</t>
  </si>
  <si>
    <t>RF008.3 - 5</t>
  </si>
  <si>
    <t>RF008.3-5 – Integración del streaming con los controles de reproducción</t>
  </si>
  <si>
    <t>RF008.3 - 6</t>
  </si>
  <si>
    <t>RF008.3-6 – Pruebas de carga y buffering del nivel avanzado</t>
  </si>
  <si>
    <t>RF008.3 - 7</t>
  </si>
  <si>
    <t>RF008.3-7 – Refactorización y cierre del módulo avanzado</t>
  </si>
  <si>
    <t>RF009- 1</t>
  </si>
  <si>
    <t>Generación de Nueva Ruta para Señas dentro de API</t>
  </si>
  <si>
    <t>RF009- 2</t>
  </si>
  <si>
    <t>Generación de Nueva Ruta para Etiquetas dentro de API</t>
  </si>
  <si>
    <t>RF009- 3</t>
  </si>
  <si>
    <t>Generación de Nueva Ruta para Sinónimos dentro de API</t>
  </si>
  <si>
    <t>RF009- 4</t>
  </si>
  <si>
    <t>Implementación de Lógica de Negocio</t>
  </si>
  <si>
    <t>RF009- 5</t>
  </si>
  <si>
    <t>Diseño de Interfaz de Usuario: Importación de Contenidos</t>
  </si>
  <si>
    <t>RF009- 6</t>
  </si>
  <si>
    <t>Conexión entre la lógica de negocio y la interfaz de usuario</t>
  </si>
  <si>
    <t>RF009- 7</t>
  </si>
  <si>
    <t>Revisión y refactorización del código implementado</t>
  </si>
  <si>
    <t>RF006 - 1</t>
  </si>
  <si>
    <t>Diseño del esquema de base de datos para la entidad Clase</t>
  </si>
  <si>
    <t>RF006 - 2</t>
  </si>
  <si>
    <t>Implementación de constraint UNIQUE para el código de clase</t>
  </si>
  <si>
    <t>RF006 - 3</t>
  </si>
  <si>
    <t>Desarrollo del algoritmo de generación de código alfanumérico</t>
  </si>
  <si>
    <t>RF006 - 4</t>
  </si>
  <si>
    <t>Validación de unicidad del código generado</t>
  </si>
  <si>
    <t>RF006 - 5</t>
  </si>
  <si>
    <t>Implementación del endpoint para creación de clase</t>
  </si>
  <si>
    <t>RF006 - 6</t>
  </si>
  <si>
    <t>Persistencia de usuario en la base de datos</t>
  </si>
  <si>
    <t>RF006 - 7</t>
  </si>
  <si>
    <t>Manejo de errores y validaciones del endpoint de creación</t>
  </si>
  <si>
    <t>RF006 - 8</t>
  </si>
  <si>
    <t>Desarrollo de la vista docente para crear clase</t>
  </si>
  <si>
    <t>RF006 - 9</t>
  </si>
  <si>
    <t>Implementación del modal de visualización del código de clase</t>
  </si>
  <si>
    <t>RF006 - 10</t>
  </si>
  <si>
    <t>Integración frontend–backend para creación de clase</t>
  </si>
  <si>
    <t>RF006 - 11</t>
  </si>
  <si>
    <t>Pruebas unitarias y refactorización del módulo de clases</t>
  </si>
  <si>
    <t>RF007 - 1</t>
  </si>
  <si>
    <t>Diseño de la lógica de enlace de alumno a clase</t>
  </si>
  <si>
    <t>RF007 - 2</t>
  </si>
  <si>
    <t>Implementación del endpoint Join Class</t>
  </si>
  <si>
    <t>RF007 - 3</t>
  </si>
  <si>
    <t>Validación de existencia del código de clase</t>
  </si>
  <si>
    <t>RF007 - 4</t>
  </si>
  <si>
    <t>Validación de cupo disponible en la clase</t>
  </si>
  <si>
    <t>RF007 - 5</t>
  </si>
  <si>
    <t>Manejo de errores al intentar unirse a una clase</t>
  </si>
  <si>
    <t>RF007 - 6</t>
  </si>
  <si>
    <t>Desarrollo de la vista alumno para ingreso de código</t>
  </si>
  <si>
    <t>RF007 - 7</t>
  </si>
  <si>
    <t>Integración de la vista alumno con el endpoint Join Class</t>
  </si>
  <si>
    <t>RF007 - 8</t>
  </si>
  <si>
    <t>Registro del alumno dentro de la clase en base de datos</t>
  </si>
  <si>
    <t>RF007 - 9</t>
  </si>
  <si>
    <t>Pruebas de integración del flujo “Unirse a Clase”</t>
  </si>
  <si>
    <t>RF007 - 10</t>
  </si>
  <si>
    <t>RF008 - 1</t>
  </si>
  <si>
    <t>RF008-1 – Diseño del esquema jerárquico Niveles → Lecciones</t>
  </si>
  <si>
    <t>RF008 - 2</t>
  </si>
  <si>
    <t>RF008-2 – Creación de entidades y relaciones en base de datos</t>
  </si>
  <si>
    <t>RF008 - 3</t>
  </si>
  <si>
    <t>RF008-3 – Implementación de lógica de desbloqueo de niveles</t>
  </si>
  <si>
    <t>RF008 - 4</t>
  </si>
  <si>
    <t>RF008-4 – Desarrollo del endpoint de tracking de progreso</t>
  </si>
  <si>
    <t>RF008 - 5</t>
  </si>
  <si>
    <t>RF008-5 – Registro de avance del usuario por lección</t>
  </si>
  <si>
    <t>RF008 - 6</t>
  </si>
  <si>
    <t>RF008-6 – Desarrollo del reproductor de video LSEC</t>
  </si>
  <si>
    <t>RF008 - 7</t>
  </si>
  <si>
    <t>RF008-7 – Implementación de navegación entre lecciones</t>
  </si>
  <si>
    <t>RF008 - 8</t>
  </si>
  <si>
    <t>RF008-8 – Integración del reproductor con el progreso del usuario</t>
  </si>
  <si>
    <t>RF008 - 9</t>
  </si>
  <si>
    <t>RF008-9 – Validación de desbloqueo automático de niveles</t>
  </si>
  <si>
    <t>RF008 - 10</t>
  </si>
  <si>
    <t>RF008-10 – Pruebas funcionales del módulo de aprendizaje</t>
  </si>
  <si>
    <t>RF008 - 11</t>
  </si>
  <si>
    <t>RF008-11 – Revisión y refactorización del módulo completo</t>
  </si>
  <si>
    <t>RF001 - 1</t>
  </si>
  <si>
    <t>Crear la API para la aplicación</t>
  </si>
  <si>
    <t>RF001 - 2</t>
  </si>
  <si>
    <t>Backend - Implementar endpoint de registro de usuario</t>
  </si>
  <si>
    <t>RF001 - 3</t>
  </si>
  <si>
    <t>Asignación automática del rol de padre al usuario registrado</t>
  </si>
  <si>
    <t>RF001 - 4</t>
  </si>
  <si>
    <t>Diseño de la interfaz de usuario: Registrar Usuario</t>
  </si>
  <si>
    <t>RF001 - 5</t>
  </si>
  <si>
    <t>Validación de datos obligatorios en el registro</t>
  </si>
  <si>
    <t>RF001 - 6</t>
  </si>
  <si>
    <t>RF001 - 7</t>
  </si>
  <si>
    <t>RF002 - 1</t>
  </si>
  <si>
    <t>Implementar lógica de autenticación en backend</t>
  </si>
  <si>
    <t>RF002 - 2</t>
  </si>
  <si>
    <t>Gestionar mensajes de error y validaciones en el inicio de sesión</t>
  </si>
  <si>
    <t>RF002 - 3</t>
  </si>
  <si>
    <t>Diseño de la interfaz de usuario: Inicio de sesión</t>
  </si>
  <si>
    <t>RF002 - 4</t>
  </si>
  <si>
    <t>Conectar la interfaz de usuario con el backend de autenticación</t>
  </si>
  <si>
    <t>RF002 - 5</t>
  </si>
  <si>
    <t>Pruebas y refactorización de inicio de sesión</t>
  </si>
  <si>
    <t>Realizar Prueba de Conocimientos</t>
  </si>
  <si>
    <t>Determinar mi nivel (Principiante/Intermedio/Avanzado)</t>
  </si>
  <si>
    <t>En proceso</t>
  </si>
  <si>
    <t>RF003 - 1</t>
  </si>
  <si>
    <t>Funcionalidad de Transformación de Puntaje en Nivel Categórico</t>
  </si>
  <si>
    <t>RF003 - 2</t>
  </si>
  <si>
    <t>Mapeo Lógico y Programático de los Puntajes de cada Pregunta</t>
  </si>
  <si>
    <t>RF003 - 3</t>
  </si>
  <si>
    <t>Diseño de Interfaz de Usuario: Formulario de Conocimiento</t>
  </si>
  <si>
    <t>RF003 - 4</t>
  </si>
  <si>
    <t>Control de Errores por parte del Ingreso de Datos del Usuario</t>
  </si>
  <si>
    <t>RF003 - 5</t>
  </si>
  <si>
    <t>RF003 - 6</t>
  </si>
  <si>
    <t>RF004 - 1</t>
  </si>
  <si>
    <t>RF004 - 2</t>
  </si>
  <si>
    <t>RF004 - 3</t>
  </si>
  <si>
    <t>RF004 - 4</t>
  </si>
  <si>
    <t>RF004 - 5</t>
  </si>
  <si>
    <t>RF004 - 6</t>
  </si>
  <si>
    <t>RF004 - 7</t>
  </si>
  <si>
    <t>En Proceso</t>
  </si>
  <si>
    <t>RF005 - 1</t>
  </si>
  <si>
    <t>Generación de Nueva Ruta para Obtención de Frases Comunes de API</t>
  </si>
  <si>
    <t>RF005 - 2</t>
  </si>
  <si>
    <t>RF005 - 3</t>
  </si>
  <si>
    <t>Diseño de Interfaz de Usuario: Listado de Frases Comunes</t>
  </si>
  <si>
    <t>RF005 - 4</t>
  </si>
  <si>
    <t>Diseño de Interfaz de Usuario: Cuadro de Frase Común</t>
  </si>
  <si>
    <t>RF005 - 5</t>
  </si>
  <si>
    <t>RF005 - 6</t>
  </si>
  <si>
    <t>Dia 5</t>
  </si>
  <si>
    <t>Dia 4</t>
  </si>
  <si>
    <t>Dia 3</t>
  </si>
  <si>
    <t>Dia 2</t>
  </si>
  <si>
    <t>Dia 1</t>
  </si>
  <si>
    <t>Total de Horas</t>
  </si>
  <si>
    <t>RF001-1</t>
  </si>
  <si>
    <t>RF001-2</t>
  </si>
  <si>
    <t>RF001-3</t>
  </si>
  <si>
    <t>RF001-4</t>
  </si>
  <si>
    <t>RF001-5</t>
  </si>
  <si>
    <t>RF001-6</t>
  </si>
  <si>
    <t>RF001-7</t>
  </si>
  <si>
    <t>RF002-1</t>
  </si>
  <si>
    <t>RF002-2</t>
  </si>
  <si>
    <t>RF002-3</t>
  </si>
  <si>
    <t>RF002-4</t>
  </si>
  <si>
    <t>RF002-5</t>
  </si>
  <si>
    <t>RF003-1</t>
  </si>
  <si>
    <t>RF003-2</t>
  </si>
  <si>
    <t>RF003-3</t>
  </si>
  <si>
    <t>RF003-4</t>
  </si>
  <si>
    <t>RF003-5</t>
  </si>
  <si>
    <t>RF003-6</t>
  </si>
  <si>
    <t>RF004-1</t>
  </si>
  <si>
    <t>RF004-2</t>
  </si>
  <si>
    <t>RF004-3</t>
  </si>
  <si>
    <t>RF004-4</t>
  </si>
  <si>
    <t>RF004-5</t>
  </si>
  <si>
    <t>RF004-6</t>
  </si>
  <si>
    <t>RF004-7</t>
  </si>
  <si>
    <t>RF005-1</t>
  </si>
  <si>
    <t>RF005-2</t>
  </si>
  <si>
    <t>RF005-3</t>
  </si>
  <si>
    <t>RF005-4</t>
  </si>
  <si>
    <t>RF005-5</t>
  </si>
  <si>
    <t>Horas Estimadas</t>
  </si>
  <si>
    <t>Horas Estimadas
Restantes</t>
  </si>
  <si>
    <t>En un inicio se comenzó con un flujo de trabajo prácticamente alineado a las horas estimadas, manteniéndose paralelas ambas líneas durante las primeras actividades del sprint. Sin embargo, en la fase intermedia del sprint se experimentó una desaceleración significativa en el ritmo de trabajo debido a diversos factores, lo que ocasionó que el trabajo real se estancara mientras las horas estimadas restantes continuaban su descenso ideal, generando una brecha considerable entre lo planificado y lo ejecutado. Esta situación crítica representó el punto más bajo del sprint en términos de cumplimiento. Afortunadamente, hacia la fase final del sprint el equipo logró recuperar el ritmo de trabajo de manera notable, acelerando considerablemente la velocidad de completitud de tareas y reduciendo significativamente la brecha que se había generado. No obstante, a pesar de este esfuerzo de recuperación, el sprint concluyó con aproximadamente 50 horas de trabajo pendiente, lo que indica que no se logró completar la totalidad de las tareas comprometidas según la estimación original, aunque sí se demostró una importante capacidad de reacción y aceleración del equipo en las etapas finales del ciclo de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</si>
</sst>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Arial"/>
      <scheme val="minor"/>
    </font>
    <font>
      <sz val="12"/>
      <color rgb="FFFF0000"/>
      <name val="Arial"/>
    </font>
    <font>
      <sz val="10"/>
      <color rgb="FF2F5496"/>
      <name val="Arial"/>
    </font>
    <font>
      <sz val="10"/>
      <color theme="1"/>
      <name val="Arial"/>
    </font>
    <font>
      <sz val="10"/>
      <color theme="1"/>
      <name val="Times New Roman"/>
    </font>
    <font>
      <b/>
      <sz val="12"/>
      <color theme="1"/>
      <name val="Times New Roman"/>
    </font>
    <font>
      <sz val="10"/>
      <color rgb="FF000000"/>
      <name val="Times New Roman"/>
    </font>
    <font>
      <sz val="10"/>
      <color rgb="FF000000"/>
      <name val="Arial"/>
    </font>
    <font>
      <u/>
      <sz val="10"/>
      <color rgb="FF000000"/>
      <name val="Arial"/>
      <scheme val="minor"/>
    </font>
  </fonts>
  <fills count="10">
    <fill>
      <patternFill patternType="none"/>
    </fill>
    <fill>
      <patternFill patternType="gray125"/>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theme="0" tint="-0.249977111117893"/>
        <bgColor indexed="64"/>
      </patternFill>
    </fill>
    <fill>
      <patternFill patternType="solid">
        <fgColor rgb="FFFFFFFF"/>
        <bgColor rgb="FFF2F2F2"/>
      </patternFill>
    </fill>
    <fill>
      <patternFill patternType="solid">
        <fgColor rgb="FFFFC000"/>
        <bgColor indexed="64"/>
      </patternFill>
    </fill>
    <fill>
      <patternFill patternType="solid">
        <fgColor theme="4" tint="0.39997558519241921"/>
        <bgColor indexed="64"/>
      </patternFill>
    </fill>
    <fill>
      <patternFill patternType="solid">
        <fgColor theme="0"/>
        <bgColor indexed="64"/>
      </patternFill>
    </fill>
  </fills>
  <borders count="9">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3" fillId="0" borderId="0" xfId="0" applyFont="1"/>
    <xf numFmtId="0" fontId="3" fillId="4" borderId="1" xfId="0" applyFont="1" applyFill="1" applyBorder="1"/>
    <xf numFmtId="0" fontId="4" fillId="0" borderId="2" xfId="0" applyFont="1" applyBorder="1" applyAlignment="1">
      <alignment horizontal="center" vertical="center" wrapText="1"/>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 fillId="0" borderId="1" xfId="0" applyFont="1" applyBorder="1"/>
    <xf numFmtId="0" fontId="4" fillId="0" borderId="1" xfId="0" applyFont="1" applyBorder="1" applyAlignment="1">
      <alignment horizontal="center" vertical="center" wrapText="1"/>
    </xf>
    <xf numFmtId="0" fontId="5" fillId="5"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0" fillId="0" borderId="4" xfId="0" applyBorder="1"/>
    <xf numFmtId="0" fontId="0" fillId="0" borderId="1" xfId="0" applyBorder="1"/>
    <xf numFmtId="0" fontId="0" fillId="7" borderId="0" xfId="0" applyFill="1" applyAlignment="1">
      <alignment horizontal="center"/>
    </xf>
    <xf numFmtId="0" fontId="5" fillId="5" borderId="5" xfId="0" applyFont="1" applyFill="1" applyBorder="1" applyAlignment="1">
      <alignment horizontal="center" vertical="center" wrapText="1"/>
    </xf>
    <xf numFmtId="0" fontId="0" fillId="0" borderId="5" xfId="0" applyBorder="1"/>
    <xf numFmtId="0" fontId="0" fillId="8" borderId="0" xfId="0" applyFill="1" applyAlignment="1">
      <alignment horizontal="center"/>
    </xf>
    <xf numFmtId="0" fontId="3" fillId="2" borderId="1" xfId="0" applyFont="1" applyFill="1" applyBorder="1" applyAlignment="1">
      <alignment horizontal="center"/>
    </xf>
    <xf numFmtId="0" fontId="3" fillId="0" borderId="0" xfId="0" applyFont="1" applyAlignment="1">
      <alignment horizontal="center"/>
    </xf>
    <xf numFmtId="0" fontId="3" fillId="3" borderId="1" xfId="0" applyFont="1" applyFill="1" applyBorder="1" applyAlignment="1">
      <alignment horizontal="center"/>
    </xf>
    <xf numFmtId="0" fontId="0" fillId="0" borderId="0" xfId="0" applyAlignment="1">
      <alignment horizontal="center"/>
    </xf>
    <xf numFmtId="0" fontId="0" fillId="9" borderId="0" xfId="0" applyFill="1"/>
    <xf numFmtId="0" fontId="0" fillId="9" borderId="0" xfId="0" applyFill="1" applyAlignment="1">
      <alignment horizontal="center"/>
    </xf>
    <xf numFmtId="0" fontId="0" fillId="9" borderId="1" xfId="0" applyFill="1" applyBorder="1"/>
    <xf numFmtId="0" fontId="0" fillId="0" borderId="4" xfId="0" applyBorder="1" applyAlignment="1">
      <alignment horizontal="left"/>
    </xf>
    <xf numFmtId="0" fontId="5" fillId="5" borderId="4" xfId="0" applyFont="1" applyFill="1" applyBorder="1" applyAlignment="1">
      <alignment horizontal="center" vertical="center" wrapText="1"/>
    </xf>
    <xf numFmtId="0" fontId="3" fillId="2" borderId="0" xfId="0" applyFont="1" applyFill="1" applyAlignment="1">
      <alignment horizontal="center"/>
    </xf>
    <xf numFmtId="0" fontId="0" fillId="0" borderId="4" xfId="0" applyBorder="1" applyAlignment="1">
      <alignment horizontal="left"/>
    </xf>
    <xf numFmtId="0" fontId="5" fillId="5" borderId="4" xfId="0" applyFont="1" applyFill="1" applyBorder="1" applyAlignment="1">
      <alignment horizontal="center" vertical="center" wrapText="1"/>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0" fillId="0" borderId="5" xfId="0" applyBorder="1" applyAlignment="1">
      <alignment horizontal="left"/>
    </xf>
    <xf numFmtId="0" fontId="7" fillId="0" borderId="0" xfId="0" applyFont="1" applyAlignment="1">
      <alignment horizontal="left" vertical="center" wrapText="1"/>
    </xf>
    <xf numFmtId="0" fontId="0" fillId="0" borderId="0" xfId="0" applyAlignment="1"/>
    <xf numFmtId="0" fontId="8" fillId="0" borderId="4" xfId="0" applyFont="1" applyBorder="1"/>
  </cellXfs>
  <cellStyles count="1">
    <cellStyle name="Normal" xfId="0" builtinId="0"/>
  </cellStyles>
  <dxfs count="10">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burdonchart!$B$122:$H$122</c:f>
              <c:numCache>
                <c:formatCode>General</c:formatCode>
                <c:ptCount val="7"/>
                <c:pt idx="0">
                  <c:v>0</c:v>
                </c:pt>
                <c:pt idx="1">
                  <c:v>278</c:v>
                </c:pt>
                <c:pt idx="2">
                  <c:v>230</c:v>
                </c:pt>
                <c:pt idx="3">
                  <c:v>138</c:v>
                </c:pt>
                <c:pt idx="4">
                  <c:v>102</c:v>
                </c:pt>
                <c:pt idx="5">
                  <c:v>55</c:v>
                </c:pt>
                <c:pt idx="6">
                  <c:v>49</c:v>
                </c:pt>
              </c:numCache>
            </c:numRef>
          </c:val>
          <c:smooth val="0"/>
          <c:extLst>
            <c:ext xmlns:c16="http://schemas.microsoft.com/office/drawing/2014/chart" uri="{C3380CC4-5D6E-409C-BE32-E72D297353CC}">
              <c16:uniqueId val="{00000000-1462-431B-AAF3-0E0A82C758EF}"/>
            </c:ext>
          </c:extLst>
        </c:ser>
        <c:ser>
          <c:idx val="1"/>
          <c:order val="1"/>
          <c:spPr>
            <a:ln w="28575" cmpd="sng">
              <a:solidFill>
                <a:schemeClr val="accent2"/>
              </a:solidFill>
            </a:ln>
          </c:spPr>
          <c:marker>
            <c:symbol val="none"/>
          </c:marker>
          <c:val>
            <c:numRef>
              <c:f>burdonchart!$B$123:$H$123</c:f>
              <c:numCache>
                <c:formatCode>General</c:formatCode>
                <c:ptCount val="7"/>
                <c:pt idx="0">
                  <c:v>0</c:v>
                </c:pt>
                <c:pt idx="1">
                  <c:v>278</c:v>
                </c:pt>
                <c:pt idx="2">
                  <c:v>222.4</c:v>
                </c:pt>
                <c:pt idx="3">
                  <c:v>166.8</c:v>
                </c:pt>
                <c:pt idx="4">
                  <c:v>111.20000000000002</c:v>
                </c:pt>
                <c:pt idx="5">
                  <c:v>55.600000000000016</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54470691163605"/>
          <c:y val="5.7502246181491468E-2"/>
          <c:w val="0.869455293088364"/>
          <c:h val="0.78993880481920897"/>
        </c:manualLayout>
      </c:layout>
      <c:lineChart>
        <c:grouping val="standard"/>
        <c:varyColors val="1"/>
        <c:ser>
          <c:idx val="0"/>
          <c:order val="0"/>
          <c:tx>
            <c:strRef>
              <c:f>burdonchart!$B$122</c:f>
              <c:strCache>
                <c:ptCount val="1"/>
                <c:pt idx="0">
                  <c:v>Horas Estimadas</c:v>
                </c:pt>
              </c:strCache>
            </c:strRef>
          </c:tx>
          <c:spPr>
            <a:ln w="28575" cap="rnd">
              <a:solidFill>
                <a:schemeClr val="accent1"/>
              </a:solidFill>
              <a:round/>
            </a:ln>
            <a:effectLst/>
          </c:spPr>
          <c:marker>
            <c:symbol val="none"/>
          </c:marker>
          <c:val>
            <c:numRef>
              <c:f>burdonchart!$C$122:$H$122</c:f>
              <c:numCache>
                <c:formatCode>General</c:formatCode>
                <c:ptCount val="6"/>
                <c:pt idx="0">
                  <c:v>278</c:v>
                </c:pt>
                <c:pt idx="1">
                  <c:v>230</c:v>
                </c:pt>
                <c:pt idx="2">
                  <c:v>138</c:v>
                </c:pt>
                <c:pt idx="3">
                  <c:v>102</c:v>
                </c:pt>
                <c:pt idx="4">
                  <c:v>55</c:v>
                </c:pt>
                <c:pt idx="5">
                  <c:v>49</c:v>
                </c:pt>
              </c:numCache>
            </c:numRef>
          </c:val>
          <c:smooth val="0"/>
          <c:extLst>
            <c:ext xmlns:c16="http://schemas.microsoft.com/office/drawing/2014/chart" uri="{C3380CC4-5D6E-409C-BE32-E72D297353CC}">
              <c16:uniqueId val="{00000001-DF15-4823-8F4B-E07D21933850}"/>
            </c:ext>
          </c:extLst>
        </c:ser>
        <c:ser>
          <c:idx val="1"/>
          <c:order val="1"/>
          <c:tx>
            <c:strRef>
              <c:f>burdonchart!$B$123</c:f>
              <c:strCache>
                <c:ptCount val="1"/>
                <c:pt idx="0">
                  <c:v>Horas Estimadas
Restantes</c:v>
                </c:pt>
              </c:strCache>
            </c:strRef>
          </c:tx>
          <c:spPr>
            <a:ln w="28575" cap="rnd">
              <a:solidFill>
                <a:schemeClr val="accent2"/>
              </a:solidFill>
              <a:round/>
            </a:ln>
            <a:effectLst/>
          </c:spPr>
          <c:marker>
            <c:symbol val="none"/>
          </c:marker>
          <c:val>
            <c:numRef>
              <c:f>burdonchart!$C$123:$H$123</c:f>
              <c:numCache>
                <c:formatCode>General</c:formatCode>
                <c:ptCount val="6"/>
                <c:pt idx="0">
                  <c:v>278</c:v>
                </c:pt>
                <c:pt idx="1">
                  <c:v>222.4</c:v>
                </c:pt>
                <c:pt idx="2">
                  <c:v>166.8</c:v>
                </c:pt>
                <c:pt idx="3">
                  <c:v>111.20000000000002</c:v>
                </c:pt>
                <c:pt idx="4">
                  <c:v>55.600000000000016</c:v>
                </c:pt>
                <c:pt idx="5">
                  <c:v>0</c:v>
                </c:pt>
              </c:numCache>
            </c:numRef>
          </c:val>
          <c:smooth val="0"/>
          <c:extLst>
            <c:ext xmlns:c16="http://schemas.microsoft.com/office/drawing/2014/chart" uri="{C3380CC4-5D6E-409C-BE32-E72D297353CC}">
              <c16:uniqueId val="{00000003-DF15-4823-8F4B-E07D21933850}"/>
            </c:ext>
          </c:extLst>
        </c:ser>
        <c:dLbls>
          <c:showLegendKey val="0"/>
          <c:showVal val="0"/>
          <c:showCatName val="0"/>
          <c:showSerName val="0"/>
          <c:showPercent val="0"/>
          <c:showBubbleSize val="0"/>
        </c:dLbls>
        <c:smooth val="0"/>
        <c:axId val="416555524"/>
        <c:axId val="2087969067"/>
      </c:lineChart>
      <c:catAx>
        <c:axId val="4165555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2087969067"/>
        <c:crosses val="autoZero"/>
        <c:auto val="1"/>
        <c:lblAlgn val="ctr"/>
        <c:lblOffset val="100"/>
        <c:noMultiLvlLbl val="1"/>
      </c:catAx>
      <c:valAx>
        <c:axId val="20879690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4165555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638175</xdr:colOff>
      <xdr:row>0</xdr:row>
      <xdr:rowOff>19050</xdr:rowOff>
    </xdr:from>
    <xdr:ext cx="0" cy="0"/>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11</xdr:col>
      <xdr:colOff>209550</xdr:colOff>
      <xdr:row>10</xdr:row>
      <xdr:rowOff>0</xdr:rowOff>
    </xdr:from>
    <xdr:to>
      <xdr:col>18</xdr:col>
      <xdr:colOff>781050</xdr:colOff>
      <xdr:row>29</xdr:row>
      <xdr:rowOff>114300</xdr:rowOff>
    </xdr:to>
    <xdr:graphicFrame macro="">
      <xdr:nvGraphicFramePr>
        <xdr:cNvPr id="3" name="Chart 2" title="Gráfico">
          <a:extLst>
            <a:ext uri="{FF2B5EF4-FFF2-40B4-BE49-F238E27FC236}">
              <a16:creationId xmlns:a16="http://schemas.microsoft.com/office/drawing/2014/main" id="{52DD37F7-C4B7-4957-91ED-602F3FC54EFE}"/>
            </a:ext>
            <a:ext uri="{147F2762-F138-4A5C-976F-8EAC2B608ADB}">
              <a16:predDERef xmlns:a16="http://schemas.microsoft.com/office/drawing/2014/main" pred="{00000000-0008-0000-0200-0000AC00A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J120" headerRowCount="0" headerRowDxfId="6" dataDxfId="5" totalsRowDxfId="4">
  <tableColumns count="2">
    <tableColumn id="1" xr3:uid="{00000000-0010-0000-0000-000001000000}" name="Column1" dataDxfId="3"/>
    <tableColumn id="2" xr3:uid="{E5721A95-02D0-4BDF-A307-6F5409F74DAD}" name="Column2" headerRowDxfId="1" dataDxfId="0" totalsRowDxfId="2"/>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6"/>
  <sheetViews>
    <sheetView workbookViewId="0">
      <selection activeCell="B19" sqref="B19"/>
    </sheetView>
  </sheetViews>
  <sheetFormatPr defaultColWidth="12.5703125" defaultRowHeight="15" customHeight="1"/>
  <cols>
    <col min="1" max="1" width="12.42578125" customWidth="1"/>
    <col min="2" max="2" width="30.28515625" customWidth="1"/>
    <col min="3" max="3" width="36" customWidth="1"/>
    <col min="4" max="4" width="41.42578125" customWidth="1"/>
    <col min="5" max="5" width="54.42578125" customWidth="1"/>
    <col min="6" max="6" width="34" customWidth="1"/>
    <col min="7" max="26" width="12.42578125" customWidth="1"/>
  </cols>
  <sheetData>
    <row r="1" spans="1:26" ht="27.75" customHeight="1">
      <c r="A1" s="6" t="s">
        <v>0</v>
      </c>
      <c r="B1" s="6" t="s">
        <v>1</v>
      </c>
      <c r="C1" s="6" t="s">
        <v>2</v>
      </c>
      <c r="D1" s="6" t="s">
        <v>3</v>
      </c>
      <c r="E1" s="6" t="s">
        <v>4</v>
      </c>
      <c r="F1" s="6" t="s">
        <v>5</v>
      </c>
      <c r="G1" s="6" t="s">
        <v>6</v>
      </c>
      <c r="H1" s="6" t="s">
        <v>7</v>
      </c>
      <c r="I1" s="1"/>
      <c r="J1" s="1"/>
      <c r="K1" s="1"/>
      <c r="L1" s="1"/>
      <c r="M1" s="1"/>
      <c r="N1" s="1"/>
      <c r="O1" s="1"/>
      <c r="P1" s="1"/>
      <c r="Q1" s="1"/>
      <c r="R1" s="1"/>
      <c r="S1" s="1"/>
      <c r="T1" s="1"/>
      <c r="U1" s="1"/>
      <c r="V1" s="1"/>
      <c r="W1" s="1"/>
      <c r="X1" s="1"/>
      <c r="Y1" s="1"/>
      <c r="Z1" s="1"/>
    </row>
    <row r="2" spans="1:26" ht="51">
      <c r="A2" s="6" t="s">
        <v>8</v>
      </c>
      <c r="B2" s="5" t="s">
        <v>9</v>
      </c>
      <c r="C2" s="5" t="s">
        <v>10</v>
      </c>
      <c r="D2" s="5" t="s">
        <v>11</v>
      </c>
      <c r="E2" s="5" t="s">
        <v>12</v>
      </c>
      <c r="F2" s="5" t="s">
        <v>13</v>
      </c>
      <c r="G2" s="5" t="s">
        <v>14</v>
      </c>
      <c r="H2" s="5" t="s">
        <v>15</v>
      </c>
      <c r="I2" s="2"/>
      <c r="J2" s="2"/>
      <c r="K2" s="2"/>
      <c r="L2" s="2"/>
      <c r="M2" s="2"/>
      <c r="N2" s="2"/>
      <c r="O2" s="2"/>
      <c r="P2" s="2"/>
      <c r="Q2" s="2"/>
      <c r="R2" s="2"/>
      <c r="S2" s="2"/>
      <c r="T2" s="2"/>
      <c r="U2" s="2"/>
      <c r="V2" s="2"/>
      <c r="W2" s="2"/>
      <c r="X2" s="2"/>
      <c r="Y2" s="2"/>
      <c r="Z2" s="2"/>
    </row>
    <row r="3" spans="1:26" ht="51">
      <c r="A3" s="6" t="s">
        <v>16</v>
      </c>
      <c r="B3" s="5" t="s">
        <v>17</v>
      </c>
      <c r="C3" s="5" t="s">
        <v>10</v>
      </c>
      <c r="D3" s="5" t="s">
        <v>18</v>
      </c>
      <c r="E3" s="5" t="s">
        <v>19</v>
      </c>
      <c r="F3" s="5" t="s">
        <v>20</v>
      </c>
      <c r="G3" s="5" t="s">
        <v>14</v>
      </c>
      <c r="H3" s="5" t="s">
        <v>15</v>
      </c>
    </row>
    <row r="4" spans="1:26" ht="51">
      <c r="A4" s="6" t="s">
        <v>21</v>
      </c>
      <c r="B4" s="5" t="s">
        <v>22</v>
      </c>
      <c r="C4" s="5" t="s">
        <v>23</v>
      </c>
      <c r="D4" s="5" t="s">
        <v>24</v>
      </c>
      <c r="E4" s="5" t="s">
        <v>25</v>
      </c>
      <c r="F4" s="5" t="s">
        <v>26</v>
      </c>
      <c r="G4" s="5" t="s">
        <v>14</v>
      </c>
      <c r="H4" s="5" t="s">
        <v>15</v>
      </c>
    </row>
    <row r="5" spans="1:26" ht="51">
      <c r="A5" s="6" t="s">
        <v>27</v>
      </c>
      <c r="B5" s="5" t="s">
        <v>28</v>
      </c>
      <c r="C5" s="5" t="s">
        <v>29</v>
      </c>
      <c r="D5" s="7" t="s">
        <v>30</v>
      </c>
      <c r="E5" s="5" t="s">
        <v>31</v>
      </c>
      <c r="F5" s="5" t="s">
        <v>32</v>
      </c>
      <c r="G5" s="5" t="s">
        <v>14</v>
      </c>
      <c r="H5" s="5" t="s">
        <v>15</v>
      </c>
    </row>
    <row r="6" spans="1:26" ht="51">
      <c r="A6" s="6" t="s">
        <v>33</v>
      </c>
      <c r="B6" s="5" t="s">
        <v>34</v>
      </c>
      <c r="C6" s="5" t="s">
        <v>23</v>
      </c>
      <c r="D6" s="8" t="s">
        <v>35</v>
      </c>
      <c r="E6" s="5" t="s">
        <v>36</v>
      </c>
      <c r="F6" s="5" t="s">
        <v>37</v>
      </c>
      <c r="G6" s="5" t="s">
        <v>14</v>
      </c>
      <c r="H6" s="5" t="s">
        <v>15</v>
      </c>
    </row>
    <row r="7" spans="1:26" ht="38.25">
      <c r="A7" s="6" t="s">
        <v>38</v>
      </c>
      <c r="B7" s="5" t="s">
        <v>39</v>
      </c>
      <c r="C7" s="5" t="s">
        <v>29</v>
      </c>
      <c r="D7" s="7" t="s">
        <v>40</v>
      </c>
      <c r="E7" s="5" t="s">
        <v>41</v>
      </c>
      <c r="F7" s="5" t="s">
        <v>42</v>
      </c>
      <c r="G7" s="5" t="s">
        <v>14</v>
      </c>
      <c r="H7" s="5" t="s">
        <v>15</v>
      </c>
    </row>
    <row r="8" spans="1:26" ht="51">
      <c r="A8" s="6" t="s">
        <v>43</v>
      </c>
      <c r="B8" s="5" t="s">
        <v>44</v>
      </c>
      <c r="C8" s="5" t="s">
        <v>23</v>
      </c>
      <c r="D8" s="7" t="s">
        <v>45</v>
      </c>
      <c r="E8" s="5" t="s">
        <v>46</v>
      </c>
      <c r="F8" s="5" t="s">
        <v>47</v>
      </c>
      <c r="G8" s="5" t="s">
        <v>14</v>
      </c>
      <c r="H8" s="5" t="s">
        <v>15</v>
      </c>
    </row>
    <row r="9" spans="1:26" ht="51">
      <c r="A9" s="6" t="s">
        <v>48</v>
      </c>
      <c r="B9" s="5" t="s">
        <v>49</v>
      </c>
      <c r="C9" s="5" t="s">
        <v>23</v>
      </c>
      <c r="D9" s="5" t="s">
        <v>50</v>
      </c>
      <c r="E9" s="5" t="s">
        <v>51</v>
      </c>
      <c r="F9" s="5" t="s">
        <v>52</v>
      </c>
      <c r="G9" s="5" t="s">
        <v>14</v>
      </c>
      <c r="H9" s="5" t="s">
        <v>15</v>
      </c>
    </row>
    <row r="10" spans="1:26" ht="38.25">
      <c r="A10" s="6" t="s">
        <v>53</v>
      </c>
      <c r="B10" s="5" t="s">
        <v>54</v>
      </c>
      <c r="C10" s="5" t="s">
        <v>23</v>
      </c>
      <c r="D10" s="5" t="s">
        <v>55</v>
      </c>
      <c r="E10" s="5" t="s">
        <v>56</v>
      </c>
      <c r="F10" s="5" t="s">
        <v>57</v>
      </c>
      <c r="G10" s="5" t="s">
        <v>14</v>
      </c>
      <c r="H10" s="5" t="s">
        <v>15</v>
      </c>
    </row>
    <row r="11" spans="1:26" ht="38.25">
      <c r="A11" s="6" t="s">
        <v>58</v>
      </c>
      <c r="B11" s="5" t="s">
        <v>59</v>
      </c>
      <c r="C11" s="5" t="s">
        <v>23</v>
      </c>
      <c r="D11" s="5" t="s">
        <v>60</v>
      </c>
      <c r="E11" s="5" t="s">
        <v>61</v>
      </c>
      <c r="F11" s="5" t="s">
        <v>62</v>
      </c>
      <c r="G11" s="5" t="s">
        <v>14</v>
      </c>
      <c r="H11" s="5" t="s">
        <v>15</v>
      </c>
    </row>
    <row r="12" spans="1:26" ht="51">
      <c r="A12" s="6" t="s">
        <v>63</v>
      </c>
      <c r="B12" s="5" t="s">
        <v>64</v>
      </c>
      <c r="C12" s="5" t="s">
        <v>23</v>
      </c>
      <c r="D12" s="5" t="s">
        <v>65</v>
      </c>
      <c r="E12" s="5" t="s">
        <v>66</v>
      </c>
      <c r="F12" s="5" t="s">
        <v>67</v>
      </c>
      <c r="G12" s="5" t="s">
        <v>14</v>
      </c>
      <c r="H12" s="5" t="s">
        <v>15</v>
      </c>
    </row>
    <row r="13" spans="1:26" ht="51">
      <c r="A13" s="6" t="s">
        <v>68</v>
      </c>
      <c r="B13" s="5" t="s">
        <v>69</v>
      </c>
      <c r="C13" s="5" t="s">
        <v>23</v>
      </c>
      <c r="D13" s="5" t="s">
        <v>70</v>
      </c>
      <c r="E13" s="5" t="s">
        <v>71</v>
      </c>
      <c r="F13" s="5" t="s">
        <v>72</v>
      </c>
      <c r="G13" s="5" t="s">
        <v>14</v>
      </c>
      <c r="H13" s="5" t="s">
        <v>15</v>
      </c>
    </row>
    <row r="14" spans="1:26" ht="38.25">
      <c r="A14" s="6" t="s">
        <v>73</v>
      </c>
      <c r="B14" s="5" t="s">
        <v>74</v>
      </c>
      <c r="C14" s="5" t="s">
        <v>23</v>
      </c>
      <c r="D14" s="5" t="s">
        <v>75</v>
      </c>
      <c r="E14" s="5" t="s">
        <v>76</v>
      </c>
      <c r="F14" s="5" t="s">
        <v>77</v>
      </c>
      <c r="G14" s="5" t="s">
        <v>14</v>
      </c>
      <c r="H14" s="5" t="s">
        <v>15</v>
      </c>
    </row>
    <row r="15" spans="1:26" ht="51">
      <c r="A15" s="6" t="s">
        <v>78</v>
      </c>
      <c r="B15" s="5" t="s">
        <v>79</v>
      </c>
      <c r="C15" s="5" t="s">
        <v>23</v>
      </c>
      <c r="D15" s="5" t="s">
        <v>80</v>
      </c>
      <c r="E15" s="5" t="s">
        <v>81</v>
      </c>
      <c r="F15" s="5" t="s">
        <v>82</v>
      </c>
      <c r="G15" s="5" t="s">
        <v>14</v>
      </c>
      <c r="H15" s="5" t="s">
        <v>83</v>
      </c>
    </row>
    <row r="16" spans="1:26" ht="51">
      <c r="A16" s="6" t="s">
        <v>84</v>
      </c>
      <c r="B16" s="5" t="s">
        <v>85</v>
      </c>
      <c r="C16" s="5" t="s">
        <v>23</v>
      </c>
      <c r="D16" s="5" t="s">
        <v>86</v>
      </c>
      <c r="E16" s="5" t="s">
        <v>87</v>
      </c>
      <c r="F16" s="5" t="s">
        <v>88</v>
      </c>
      <c r="G16" s="5" t="s">
        <v>14</v>
      </c>
      <c r="H16" s="5" t="s">
        <v>83</v>
      </c>
    </row>
    <row r="17" spans="1:8" ht="51">
      <c r="A17" s="6" t="s">
        <v>89</v>
      </c>
      <c r="B17" s="5" t="s">
        <v>90</v>
      </c>
      <c r="C17" s="5" t="s">
        <v>29</v>
      </c>
      <c r="D17" s="5" t="s">
        <v>91</v>
      </c>
      <c r="E17" s="5" t="s">
        <v>92</v>
      </c>
      <c r="F17" s="5" t="s">
        <v>93</v>
      </c>
      <c r="G17" s="5" t="s">
        <v>14</v>
      </c>
      <c r="H17" s="5" t="s">
        <v>15</v>
      </c>
    </row>
    <row r="18" spans="1:8" ht="51">
      <c r="A18" s="6" t="s">
        <v>94</v>
      </c>
      <c r="B18" s="5" t="s">
        <v>95</v>
      </c>
      <c r="C18" s="5" t="s">
        <v>29</v>
      </c>
      <c r="D18" s="5" t="s">
        <v>96</v>
      </c>
      <c r="E18" s="5" t="s">
        <v>97</v>
      </c>
      <c r="F18" s="5" t="s">
        <v>98</v>
      </c>
      <c r="G18" s="5" t="s">
        <v>14</v>
      </c>
      <c r="H18" s="5" t="s">
        <v>15</v>
      </c>
    </row>
    <row r="19" spans="1:8" ht="51">
      <c r="A19" s="6" t="s">
        <v>99</v>
      </c>
      <c r="B19" s="5" t="s">
        <v>100</v>
      </c>
      <c r="C19" s="5" t="s">
        <v>23</v>
      </c>
      <c r="D19" s="5" t="s">
        <v>101</v>
      </c>
      <c r="E19" s="5" t="s">
        <v>102</v>
      </c>
      <c r="F19" s="5" t="s">
        <v>103</v>
      </c>
      <c r="G19" s="5" t="s">
        <v>14</v>
      </c>
      <c r="H19" s="5" t="s">
        <v>15</v>
      </c>
    </row>
    <row r="20" spans="1:8" ht="63.75">
      <c r="A20" s="6" t="s">
        <v>104</v>
      </c>
      <c r="B20" s="5" t="s">
        <v>105</v>
      </c>
      <c r="C20" s="5" t="s">
        <v>23</v>
      </c>
      <c r="D20" s="5" t="s">
        <v>106</v>
      </c>
      <c r="E20" s="5" t="s">
        <v>107</v>
      </c>
      <c r="F20" s="5" t="s">
        <v>108</v>
      </c>
      <c r="G20" s="5" t="s">
        <v>14</v>
      </c>
      <c r="H20" s="5" t="s">
        <v>15</v>
      </c>
    </row>
    <row r="21" spans="1:8" ht="51">
      <c r="A21" s="6" t="s">
        <v>109</v>
      </c>
      <c r="B21" s="5" t="s">
        <v>110</v>
      </c>
      <c r="C21" s="5" t="s">
        <v>111</v>
      </c>
      <c r="D21" s="5" t="s">
        <v>112</v>
      </c>
      <c r="E21" s="5" t="s">
        <v>113</v>
      </c>
      <c r="F21" s="5" t="s">
        <v>114</v>
      </c>
      <c r="G21" s="5" t="s">
        <v>14</v>
      </c>
      <c r="H21" s="5" t="s">
        <v>15</v>
      </c>
    </row>
    <row r="22" spans="1:8" ht="38.25">
      <c r="A22" s="6" t="s">
        <v>115</v>
      </c>
      <c r="B22" s="5" t="s">
        <v>116</v>
      </c>
      <c r="C22" s="5" t="s">
        <v>23</v>
      </c>
      <c r="D22" s="5" t="s">
        <v>117</v>
      </c>
      <c r="E22" s="5" t="s">
        <v>118</v>
      </c>
      <c r="F22" s="5" t="s">
        <v>119</v>
      </c>
      <c r="G22" s="5" t="s">
        <v>14</v>
      </c>
      <c r="H22" s="5" t="s">
        <v>15</v>
      </c>
    </row>
    <row r="23" spans="1:8" ht="38.25">
      <c r="A23" s="6" t="s">
        <v>120</v>
      </c>
      <c r="B23" s="5" t="s">
        <v>121</v>
      </c>
      <c r="C23" s="5" t="s">
        <v>23</v>
      </c>
      <c r="D23" s="5" t="s">
        <v>122</v>
      </c>
      <c r="E23" s="5" t="s">
        <v>123</v>
      </c>
      <c r="F23" s="5" t="s">
        <v>124</v>
      </c>
      <c r="G23" s="5" t="s">
        <v>14</v>
      </c>
      <c r="H23" s="5" t="s">
        <v>15</v>
      </c>
    </row>
    <row r="24" spans="1:8" ht="38.25">
      <c r="A24" s="6" t="s">
        <v>125</v>
      </c>
      <c r="B24" s="5" t="s">
        <v>126</v>
      </c>
      <c r="C24" s="5" t="s">
        <v>23</v>
      </c>
      <c r="D24" s="5" t="s">
        <v>127</v>
      </c>
      <c r="E24" s="5" t="s">
        <v>128</v>
      </c>
      <c r="F24" s="5" t="s">
        <v>129</v>
      </c>
      <c r="G24" s="5" t="s">
        <v>14</v>
      </c>
      <c r="H24" s="5" t="s">
        <v>15</v>
      </c>
    </row>
    <row r="25" spans="1:8" ht="51">
      <c r="A25" s="6" t="s">
        <v>130</v>
      </c>
      <c r="B25" s="5" t="s">
        <v>131</v>
      </c>
      <c r="C25" s="5" t="s">
        <v>23</v>
      </c>
      <c r="D25" s="5" t="s">
        <v>132</v>
      </c>
      <c r="E25" s="5" t="s">
        <v>133</v>
      </c>
      <c r="F25" s="5" t="s">
        <v>134</v>
      </c>
      <c r="G25" s="5" t="s">
        <v>14</v>
      </c>
      <c r="H25" s="5" t="s">
        <v>15</v>
      </c>
    </row>
    <row r="26" spans="1:8" ht="51">
      <c r="A26" s="6" t="s">
        <v>135</v>
      </c>
      <c r="B26" s="5" t="s">
        <v>136</v>
      </c>
      <c r="C26" s="5" t="s">
        <v>23</v>
      </c>
      <c r="D26" s="5" t="s">
        <v>137</v>
      </c>
      <c r="E26" s="5" t="s">
        <v>138</v>
      </c>
      <c r="F26" s="5" t="s">
        <v>139</v>
      </c>
      <c r="G26" s="5" t="s">
        <v>14</v>
      </c>
      <c r="H26" s="5" t="s">
        <v>15</v>
      </c>
    </row>
    <row r="27" spans="1:8" ht="51">
      <c r="A27" s="6" t="s">
        <v>140</v>
      </c>
      <c r="B27" s="5" t="s">
        <v>141</v>
      </c>
      <c r="C27" s="5" t="s">
        <v>142</v>
      </c>
      <c r="D27" s="5" t="s">
        <v>143</v>
      </c>
      <c r="E27" s="5" t="s">
        <v>144</v>
      </c>
      <c r="F27" s="5" t="s">
        <v>145</v>
      </c>
      <c r="G27" s="5" t="s">
        <v>14</v>
      </c>
      <c r="H27" s="5" t="s">
        <v>15</v>
      </c>
    </row>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B24B-CEB1-4597-9A38-205EB8C8EE3A}">
  <sheetPr>
    <outlinePr summaryBelow="0" summaryRight="0"/>
  </sheetPr>
  <dimension ref="A1:AA976"/>
  <sheetViews>
    <sheetView topLeftCell="A29" workbookViewId="0">
      <selection activeCell="H66" sqref="H66"/>
    </sheetView>
  </sheetViews>
  <sheetFormatPr defaultColWidth="12.5703125" defaultRowHeight="15" customHeight="1"/>
  <cols>
    <col min="1" max="2" width="12.42578125" customWidth="1"/>
    <col min="3" max="4" width="18.85546875" customWidth="1"/>
    <col min="5" max="5" width="20.42578125" customWidth="1"/>
    <col min="6" max="6" width="56.140625" customWidth="1"/>
    <col min="7" max="7" width="12.42578125" customWidth="1"/>
    <col min="8" max="8" width="18.28515625" customWidth="1"/>
    <col min="9" max="27" width="12.42578125" customWidth="1"/>
  </cols>
  <sheetData>
    <row r="1" spans="1:27" ht="15.75" customHeight="1"/>
    <row r="2" spans="1:27" ht="15.75" customHeight="1"/>
    <row r="3" spans="1:27" ht="15.75" customHeight="1">
      <c r="B3" s="6" t="s">
        <v>0</v>
      </c>
      <c r="C3" s="6" t="s">
        <v>1</v>
      </c>
      <c r="D3" s="6" t="s">
        <v>2</v>
      </c>
      <c r="E3" s="6" t="s">
        <v>146</v>
      </c>
      <c r="F3" s="6" t="s">
        <v>147</v>
      </c>
      <c r="G3" s="6" t="s">
        <v>148</v>
      </c>
      <c r="H3" s="6" t="s">
        <v>5</v>
      </c>
      <c r="I3" s="6" t="s">
        <v>149</v>
      </c>
      <c r="J3" s="6" t="s">
        <v>150</v>
      </c>
    </row>
    <row r="4" spans="1:27" ht="89.25">
      <c r="A4" s="2"/>
      <c r="B4" s="6" t="s">
        <v>99</v>
      </c>
      <c r="C4" s="5" t="s">
        <v>100</v>
      </c>
      <c r="D4" s="5" t="s">
        <v>23</v>
      </c>
      <c r="E4" s="5" t="s">
        <v>101</v>
      </c>
      <c r="F4" s="5" t="s">
        <v>102</v>
      </c>
      <c r="G4" s="12" t="s">
        <v>151</v>
      </c>
      <c r="H4" s="5" t="s">
        <v>103</v>
      </c>
      <c r="I4" s="5" t="s">
        <v>14</v>
      </c>
      <c r="J4" s="5" t="s">
        <v>15</v>
      </c>
      <c r="L4" s="9"/>
      <c r="M4" s="2"/>
      <c r="N4" s="2"/>
      <c r="O4" s="2"/>
      <c r="P4" s="2"/>
      <c r="Q4" s="2"/>
      <c r="R4" s="2"/>
      <c r="S4" s="2"/>
      <c r="T4" s="2"/>
      <c r="U4" s="2"/>
      <c r="V4" s="2"/>
      <c r="W4" s="2"/>
      <c r="X4" s="2"/>
      <c r="Y4" s="2"/>
      <c r="Z4" s="2"/>
      <c r="AA4" s="2"/>
    </row>
    <row r="5" spans="1:27" ht="12.75">
      <c r="A5" s="9"/>
      <c r="C5" s="10"/>
      <c r="D5" s="10"/>
      <c r="E5" s="10"/>
      <c r="F5" s="10"/>
      <c r="G5" s="10"/>
      <c r="H5" s="10"/>
      <c r="I5" s="10"/>
      <c r="J5" s="10"/>
      <c r="K5" s="10"/>
      <c r="L5" s="9"/>
      <c r="M5" s="2"/>
      <c r="N5" s="2"/>
      <c r="O5" s="2"/>
      <c r="P5" s="2"/>
      <c r="Q5" s="2"/>
      <c r="R5" s="2"/>
      <c r="S5" s="2"/>
      <c r="T5" s="2"/>
      <c r="U5" s="2"/>
      <c r="V5" s="2"/>
      <c r="W5" s="2"/>
      <c r="X5" s="2"/>
      <c r="Y5" s="2"/>
      <c r="Z5" s="2"/>
      <c r="AA5" s="2"/>
    </row>
    <row r="6" spans="1:27" ht="12.75">
      <c r="A6" s="9"/>
      <c r="B6" s="14"/>
      <c r="C6" s="10"/>
      <c r="D6" s="10"/>
      <c r="E6" s="10"/>
      <c r="F6" s="10"/>
      <c r="G6" s="10"/>
      <c r="H6" s="10"/>
      <c r="I6" s="10"/>
      <c r="J6" s="10"/>
      <c r="K6" s="10"/>
      <c r="L6" s="9"/>
      <c r="M6" s="2"/>
      <c r="N6" s="2"/>
      <c r="O6" s="2"/>
      <c r="P6" s="2"/>
      <c r="Q6" s="2"/>
      <c r="R6" s="2"/>
      <c r="S6" s="2"/>
      <c r="T6" s="2"/>
      <c r="U6" s="2"/>
      <c r="V6" s="2"/>
      <c r="W6" s="2"/>
      <c r="X6" s="2"/>
      <c r="Y6" s="2"/>
      <c r="Z6" s="2"/>
      <c r="AA6" s="2"/>
    </row>
    <row r="7" spans="1:27" ht="15.75">
      <c r="A7" s="9"/>
      <c r="B7" s="27" t="s">
        <v>0</v>
      </c>
      <c r="C7" s="30" t="s">
        <v>152</v>
      </c>
      <c r="D7" s="30"/>
      <c r="E7" s="30"/>
      <c r="F7" s="30"/>
      <c r="G7" s="30"/>
      <c r="H7" s="27" t="s">
        <v>148</v>
      </c>
      <c r="I7" s="27" t="s">
        <v>149</v>
      </c>
      <c r="J7" s="27" t="s">
        <v>153</v>
      </c>
      <c r="K7" s="14"/>
      <c r="O7" s="2"/>
      <c r="P7" s="2"/>
      <c r="Q7" s="2"/>
      <c r="R7" s="2"/>
      <c r="S7" s="2"/>
      <c r="T7" s="2"/>
      <c r="U7" s="2"/>
      <c r="V7" s="2"/>
      <c r="W7" s="2"/>
      <c r="X7" s="2"/>
      <c r="Y7" s="2"/>
      <c r="Z7" s="2"/>
      <c r="AA7" s="2"/>
    </row>
    <row r="8" spans="1:27">
      <c r="A8" s="9"/>
      <c r="B8" s="27" t="s">
        <v>154</v>
      </c>
      <c r="C8" s="29" t="s">
        <v>155</v>
      </c>
      <c r="D8" s="29"/>
      <c r="E8" s="29"/>
      <c r="F8" s="29"/>
      <c r="G8" s="29"/>
      <c r="H8" s="13" t="s">
        <v>156</v>
      </c>
      <c r="I8" s="13" t="s">
        <v>14</v>
      </c>
      <c r="J8" s="13">
        <v>3</v>
      </c>
      <c r="K8" s="14"/>
      <c r="O8" s="2"/>
      <c r="P8" s="2"/>
      <c r="Q8" s="2"/>
      <c r="R8" s="2"/>
      <c r="S8" s="2"/>
      <c r="T8" s="2"/>
      <c r="U8" s="2"/>
      <c r="V8" s="2"/>
      <c r="W8" s="2"/>
      <c r="X8" s="2"/>
      <c r="Y8" s="2"/>
      <c r="Z8" s="2"/>
      <c r="AA8" s="2"/>
    </row>
    <row r="9" spans="1:27">
      <c r="A9" s="9"/>
      <c r="B9" s="27" t="s">
        <v>157</v>
      </c>
      <c r="C9" s="29" t="s">
        <v>158</v>
      </c>
      <c r="D9" s="29"/>
      <c r="E9" s="29"/>
      <c r="F9" s="29"/>
      <c r="G9" s="29"/>
      <c r="H9" s="13" t="s">
        <v>156</v>
      </c>
      <c r="I9" s="13" t="s">
        <v>14</v>
      </c>
      <c r="J9" s="13">
        <v>2</v>
      </c>
      <c r="K9" s="14"/>
      <c r="O9" s="2"/>
      <c r="P9" s="2"/>
      <c r="Q9" s="2"/>
      <c r="R9" s="2"/>
      <c r="S9" s="2"/>
      <c r="T9" s="2"/>
      <c r="U9" s="2"/>
      <c r="V9" s="2"/>
      <c r="W9" s="2"/>
      <c r="X9" s="2"/>
      <c r="Y9" s="2"/>
      <c r="Z9" s="2"/>
      <c r="AA9" s="2"/>
    </row>
    <row r="10" spans="1:27" ht="15.75" customHeight="1">
      <c r="A10" s="14"/>
      <c r="B10" s="27" t="s">
        <v>159</v>
      </c>
      <c r="C10" s="29" t="s">
        <v>160</v>
      </c>
      <c r="D10" s="29"/>
      <c r="E10" s="29"/>
      <c r="F10" s="29"/>
      <c r="G10" s="29"/>
      <c r="H10" s="13" t="s">
        <v>156</v>
      </c>
      <c r="I10" s="13" t="s">
        <v>14</v>
      </c>
      <c r="J10" s="13">
        <v>1</v>
      </c>
      <c r="K10" s="14"/>
    </row>
    <row r="11" spans="1:27" ht="15.75" customHeight="1">
      <c r="A11" s="14"/>
      <c r="B11" s="27" t="s">
        <v>161</v>
      </c>
      <c r="C11" s="29" t="s">
        <v>162</v>
      </c>
      <c r="D11" s="29"/>
      <c r="E11" s="29"/>
      <c r="F11" s="29"/>
      <c r="G11" s="29"/>
      <c r="H11" s="13" t="s">
        <v>163</v>
      </c>
      <c r="I11" s="13" t="s">
        <v>14</v>
      </c>
      <c r="J11" s="13">
        <v>2</v>
      </c>
      <c r="K11" s="14"/>
    </row>
    <row r="12" spans="1:27">
      <c r="B12" s="27" t="s">
        <v>164</v>
      </c>
      <c r="C12" s="29" t="s">
        <v>165</v>
      </c>
      <c r="D12" s="29"/>
      <c r="E12" s="29"/>
      <c r="F12" s="29"/>
      <c r="G12" s="29"/>
      <c r="H12" s="17" t="s">
        <v>163</v>
      </c>
      <c r="I12" s="17" t="s">
        <v>14</v>
      </c>
      <c r="J12" s="17">
        <v>2</v>
      </c>
    </row>
    <row r="13" spans="1:27">
      <c r="A13" s="14"/>
      <c r="B13" s="27" t="s">
        <v>166</v>
      </c>
      <c r="C13" s="29" t="s">
        <v>167</v>
      </c>
      <c r="D13" s="29"/>
      <c r="E13" s="29"/>
      <c r="F13" s="29"/>
      <c r="G13" s="29"/>
      <c r="H13" s="13" t="s">
        <v>151</v>
      </c>
      <c r="I13" s="13" t="s">
        <v>14</v>
      </c>
      <c r="J13" s="13">
        <v>2</v>
      </c>
      <c r="K13" s="15">
        <f>SUM(J8:J13)</f>
        <v>12</v>
      </c>
    </row>
    <row r="14" spans="1:27" ht="12.75">
      <c r="B14" s="14"/>
      <c r="C14" s="14"/>
      <c r="D14" s="14"/>
      <c r="E14" s="14"/>
      <c r="F14" s="14"/>
      <c r="G14" s="14"/>
      <c r="H14" s="14"/>
      <c r="I14" s="14"/>
      <c r="J14" s="14"/>
    </row>
    <row r="15" spans="1:27" ht="12.75"/>
    <row r="16" spans="1:27">
      <c r="B16" s="6" t="s">
        <v>0</v>
      </c>
      <c r="C16" s="6" t="s">
        <v>1</v>
      </c>
      <c r="D16" s="6" t="s">
        <v>2</v>
      </c>
      <c r="E16" s="6" t="s">
        <v>146</v>
      </c>
      <c r="F16" s="6" t="s">
        <v>147</v>
      </c>
      <c r="G16" s="6" t="s">
        <v>148</v>
      </c>
      <c r="H16" s="6" t="s">
        <v>5</v>
      </c>
      <c r="I16" s="6" t="s">
        <v>149</v>
      </c>
      <c r="J16" s="6" t="s">
        <v>150</v>
      </c>
    </row>
    <row r="17" spans="2:11" ht="126.75">
      <c r="B17" s="6" t="s">
        <v>104</v>
      </c>
      <c r="C17" s="5" t="s">
        <v>105</v>
      </c>
      <c r="D17" s="5" t="s">
        <v>23</v>
      </c>
      <c r="E17" s="5" t="s">
        <v>106</v>
      </c>
      <c r="F17" s="5" t="s">
        <v>107</v>
      </c>
      <c r="G17" s="12" t="s">
        <v>151</v>
      </c>
      <c r="H17" s="5" t="s">
        <v>108</v>
      </c>
      <c r="I17" s="5" t="s">
        <v>14</v>
      </c>
      <c r="J17" s="5" t="s">
        <v>15</v>
      </c>
    </row>
    <row r="18" spans="2:11" ht="15.75" customHeight="1">
      <c r="C18" s="10"/>
      <c r="D18" s="10"/>
      <c r="E18" s="10"/>
      <c r="F18" s="10"/>
      <c r="G18" s="10"/>
      <c r="H18" s="10"/>
      <c r="I18" s="10"/>
      <c r="J18" s="10"/>
    </row>
    <row r="19" spans="2:11" ht="15.75" customHeight="1">
      <c r="B19" s="14"/>
      <c r="C19" s="10"/>
      <c r="D19" s="10"/>
      <c r="E19" s="10"/>
      <c r="F19" s="10"/>
      <c r="G19" s="10"/>
      <c r="H19" s="10"/>
      <c r="I19" s="10"/>
      <c r="J19" s="10"/>
    </row>
    <row r="20" spans="2:11" ht="15.75">
      <c r="B20" s="27" t="s">
        <v>0</v>
      </c>
      <c r="C20" s="30" t="s">
        <v>152</v>
      </c>
      <c r="D20" s="30"/>
      <c r="E20" s="30"/>
      <c r="F20" s="30"/>
      <c r="G20" s="30"/>
      <c r="H20" s="27" t="s">
        <v>148</v>
      </c>
      <c r="I20" s="27" t="s">
        <v>149</v>
      </c>
      <c r="J20" s="27" t="s">
        <v>153</v>
      </c>
    </row>
    <row r="21" spans="2:11">
      <c r="B21" s="27" t="s">
        <v>168</v>
      </c>
      <c r="C21" s="29" t="s">
        <v>169</v>
      </c>
      <c r="D21" s="29"/>
      <c r="E21" s="29"/>
      <c r="F21" s="29"/>
      <c r="G21" s="29"/>
      <c r="H21" s="13" t="s">
        <v>156</v>
      </c>
      <c r="I21" s="13" t="s">
        <v>14</v>
      </c>
      <c r="J21" s="13">
        <v>2</v>
      </c>
    </row>
    <row r="22" spans="2:11">
      <c r="B22" s="27" t="s">
        <v>170</v>
      </c>
      <c r="C22" s="29" t="s">
        <v>171</v>
      </c>
      <c r="D22" s="29"/>
      <c r="E22" s="29"/>
      <c r="F22" s="29"/>
      <c r="G22" s="29"/>
      <c r="H22" s="13" t="s">
        <v>156</v>
      </c>
      <c r="I22" s="13" t="s">
        <v>14</v>
      </c>
      <c r="J22" s="13">
        <v>2</v>
      </c>
    </row>
    <row r="23" spans="2:11">
      <c r="B23" s="27" t="s">
        <v>172</v>
      </c>
      <c r="C23" s="29" t="s">
        <v>173</v>
      </c>
      <c r="D23" s="29"/>
      <c r="E23" s="29"/>
      <c r="F23" s="29"/>
      <c r="G23" s="29"/>
      <c r="H23" s="13" t="s">
        <v>163</v>
      </c>
      <c r="I23" s="13" t="s">
        <v>14</v>
      </c>
      <c r="J23" s="13">
        <v>2</v>
      </c>
    </row>
    <row r="24" spans="2:11" ht="15.75" customHeight="1">
      <c r="B24" s="27" t="s">
        <v>174</v>
      </c>
      <c r="C24" s="29" t="s">
        <v>175</v>
      </c>
      <c r="D24" s="29"/>
      <c r="E24" s="29"/>
      <c r="F24" s="29"/>
      <c r="G24" s="29"/>
      <c r="H24" s="13" t="s">
        <v>163</v>
      </c>
      <c r="I24" s="13" t="s">
        <v>14</v>
      </c>
      <c r="J24" s="13">
        <v>1</v>
      </c>
    </row>
    <row r="25" spans="2:11" ht="15.75" customHeight="1">
      <c r="B25" s="27" t="s">
        <v>176</v>
      </c>
      <c r="C25" s="29" t="s">
        <v>177</v>
      </c>
      <c r="D25" s="29"/>
      <c r="E25" s="29"/>
      <c r="F25" s="29"/>
      <c r="G25" s="29"/>
      <c r="H25" s="13" t="s">
        <v>151</v>
      </c>
      <c r="I25" s="13" t="s">
        <v>14</v>
      </c>
      <c r="J25" s="13">
        <v>1</v>
      </c>
      <c r="K25" s="15">
        <f>SUM(J21:J25)</f>
        <v>8</v>
      </c>
    </row>
    <row r="26" spans="2:11" ht="15.75" customHeight="1"/>
    <row r="27" spans="2:11" ht="12.75"/>
    <row r="28" spans="2:11">
      <c r="B28" s="6" t="s">
        <v>0</v>
      </c>
      <c r="C28" s="6" t="s">
        <v>1</v>
      </c>
      <c r="D28" s="6" t="s">
        <v>2</v>
      </c>
      <c r="E28" s="6" t="s">
        <v>146</v>
      </c>
      <c r="F28" s="6" t="s">
        <v>147</v>
      </c>
      <c r="G28" s="6" t="s">
        <v>148</v>
      </c>
      <c r="H28" s="6" t="s">
        <v>5</v>
      </c>
      <c r="I28" s="6" t="s">
        <v>149</v>
      </c>
      <c r="J28" s="6" t="s">
        <v>150</v>
      </c>
    </row>
    <row r="29" spans="2:11" ht="89.25">
      <c r="B29" s="6" t="s">
        <v>109</v>
      </c>
      <c r="C29" s="5" t="s">
        <v>110</v>
      </c>
      <c r="D29" s="5" t="s">
        <v>111</v>
      </c>
      <c r="E29" s="5" t="s">
        <v>112</v>
      </c>
      <c r="F29" s="5" t="s">
        <v>113</v>
      </c>
      <c r="G29" s="12" t="s">
        <v>151</v>
      </c>
      <c r="H29" s="5" t="s">
        <v>114</v>
      </c>
      <c r="I29" s="5" t="s">
        <v>14</v>
      </c>
      <c r="J29" s="5" t="s">
        <v>15</v>
      </c>
    </row>
    <row r="30" spans="2:11" ht="12.75">
      <c r="C30" s="10"/>
      <c r="D30" s="10"/>
      <c r="E30" s="10"/>
      <c r="F30" s="10"/>
      <c r="G30" s="10"/>
      <c r="H30" s="10"/>
      <c r="I30" s="10"/>
      <c r="J30" s="10"/>
    </row>
    <row r="31" spans="2:11" ht="15.75" customHeight="1">
      <c r="B31" s="14"/>
      <c r="C31" s="10"/>
      <c r="D31" s="10"/>
      <c r="E31" s="10"/>
      <c r="F31" s="10"/>
      <c r="G31" s="10"/>
      <c r="H31" s="10"/>
      <c r="I31" s="10"/>
      <c r="J31" s="10"/>
    </row>
    <row r="32" spans="2:11" ht="15.75" customHeight="1">
      <c r="B32" s="27" t="s">
        <v>0</v>
      </c>
      <c r="C32" s="30" t="s">
        <v>152</v>
      </c>
      <c r="D32" s="30"/>
      <c r="E32" s="30"/>
      <c r="F32" s="30"/>
      <c r="G32" s="30"/>
      <c r="H32" s="27" t="s">
        <v>148</v>
      </c>
      <c r="I32" s="27" t="s">
        <v>149</v>
      </c>
      <c r="J32" s="27" t="s">
        <v>153</v>
      </c>
    </row>
    <row r="33" spans="2:11" ht="15.75" customHeight="1">
      <c r="B33" s="27" t="s">
        <v>178</v>
      </c>
      <c r="C33" s="29" t="s">
        <v>179</v>
      </c>
      <c r="D33" s="29"/>
      <c r="E33" s="29"/>
      <c r="F33" s="29"/>
      <c r="G33" s="29"/>
      <c r="H33" s="13" t="s">
        <v>156</v>
      </c>
      <c r="I33" s="13" t="s">
        <v>14</v>
      </c>
      <c r="J33" s="13">
        <v>3</v>
      </c>
    </row>
    <row r="34" spans="2:11">
      <c r="B34" s="27" t="s">
        <v>180</v>
      </c>
      <c r="C34" s="29" t="s">
        <v>181</v>
      </c>
      <c r="D34" s="29"/>
      <c r="E34" s="29"/>
      <c r="F34" s="29"/>
      <c r="G34" s="29"/>
      <c r="H34" s="13" t="s">
        <v>156</v>
      </c>
      <c r="I34" s="13" t="s">
        <v>14</v>
      </c>
      <c r="J34" s="13">
        <v>3</v>
      </c>
    </row>
    <row r="35" spans="2:11">
      <c r="B35" s="27" t="s">
        <v>182</v>
      </c>
      <c r="C35" s="29" t="s">
        <v>183</v>
      </c>
      <c r="D35" s="29"/>
      <c r="E35" s="29"/>
      <c r="F35" s="29"/>
      <c r="G35" s="29"/>
      <c r="H35" s="13" t="s">
        <v>163</v>
      </c>
      <c r="I35" s="13" t="s">
        <v>14</v>
      </c>
      <c r="J35" s="13">
        <v>3</v>
      </c>
    </row>
    <row r="36" spans="2:11">
      <c r="B36" s="27" t="s">
        <v>184</v>
      </c>
      <c r="C36" s="29" t="s">
        <v>185</v>
      </c>
      <c r="D36" s="29"/>
      <c r="E36" s="29"/>
      <c r="F36" s="29"/>
      <c r="G36" s="29"/>
      <c r="H36" s="13" t="s">
        <v>163</v>
      </c>
      <c r="I36" s="13" t="s">
        <v>14</v>
      </c>
      <c r="J36" s="13">
        <v>3</v>
      </c>
    </row>
    <row r="37" spans="2:11" ht="15.75" customHeight="1">
      <c r="B37" s="27" t="s">
        <v>186</v>
      </c>
      <c r="C37" s="29" t="s">
        <v>187</v>
      </c>
      <c r="D37" s="29"/>
      <c r="E37" s="29"/>
      <c r="F37" s="29"/>
      <c r="G37" s="29"/>
      <c r="H37" s="13" t="s">
        <v>151</v>
      </c>
      <c r="I37" s="13" t="s">
        <v>14</v>
      </c>
      <c r="J37" s="13">
        <v>3</v>
      </c>
    </row>
    <row r="38" spans="2:11">
      <c r="B38" s="27" t="s">
        <v>188</v>
      </c>
      <c r="C38" s="29" t="s">
        <v>189</v>
      </c>
      <c r="D38" s="29"/>
      <c r="E38" s="29"/>
      <c r="F38" s="29"/>
      <c r="G38" s="29"/>
      <c r="H38" s="13" t="s">
        <v>151</v>
      </c>
      <c r="I38" s="13" t="s">
        <v>14</v>
      </c>
      <c r="J38" s="13">
        <v>2</v>
      </c>
      <c r="K38" s="15">
        <f>SUM(J33:J38)</f>
        <v>17</v>
      </c>
    </row>
    <row r="39" spans="2:11" ht="15.75" customHeight="1"/>
    <row r="40" spans="2:11" ht="15.75" customHeight="1"/>
    <row r="41" spans="2:11" ht="15.75" customHeight="1">
      <c r="B41" s="6" t="s">
        <v>0</v>
      </c>
      <c r="C41" s="6" t="s">
        <v>1</v>
      </c>
      <c r="D41" s="6" t="s">
        <v>2</v>
      </c>
      <c r="E41" s="6" t="s">
        <v>146</v>
      </c>
      <c r="F41" s="6" t="s">
        <v>147</v>
      </c>
      <c r="G41" s="6" t="s">
        <v>148</v>
      </c>
      <c r="H41" s="6" t="s">
        <v>5</v>
      </c>
      <c r="I41" s="6" t="s">
        <v>149</v>
      </c>
      <c r="J41" s="6" t="s">
        <v>150</v>
      </c>
    </row>
    <row r="42" spans="2:11" ht="76.5">
      <c r="B42" s="6" t="s">
        <v>120</v>
      </c>
      <c r="C42" s="5" t="s">
        <v>121</v>
      </c>
      <c r="D42" s="5" t="s">
        <v>23</v>
      </c>
      <c r="E42" s="5" t="s">
        <v>122</v>
      </c>
      <c r="F42" s="5" t="s">
        <v>123</v>
      </c>
      <c r="G42" s="12" t="s">
        <v>151</v>
      </c>
      <c r="H42" s="5" t="s">
        <v>124</v>
      </c>
      <c r="I42" s="5" t="s">
        <v>14</v>
      </c>
      <c r="J42" s="5" t="s">
        <v>15</v>
      </c>
    </row>
    <row r="43" spans="2:11" ht="15.75" customHeight="1">
      <c r="C43" s="10"/>
      <c r="D43" s="10"/>
      <c r="E43" s="10"/>
      <c r="F43" s="10"/>
      <c r="G43" s="10"/>
      <c r="H43" s="10"/>
      <c r="I43" s="10"/>
      <c r="J43" s="10"/>
    </row>
    <row r="44" spans="2:11" ht="15.75" customHeight="1">
      <c r="B44" s="14"/>
      <c r="C44" s="10"/>
      <c r="D44" s="10"/>
      <c r="E44" s="10"/>
      <c r="F44" s="10"/>
      <c r="G44" s="10"/>
      <c r="H44" s="10"/>
      <c r="I44" s="10"/>
      <c r="J44" s="10"/>
    </row>
    <row r="45" spans="2:11" ht="15.75" customHeight="1">
      <c r="B45" s="27" t="s">
        <v>0</v>
      </c>
      <c r="C45" s="30" t="s">
        <v>152</v>
      </c>
      <c r="D45" s="30"/>
      <c r="E45" s="30"/>
      <c r="F45" s="30"/>
      <c r="G45" s="30"/>
      <c r="H45" s="27" t="s">
        <v>148</v>
      </c>
      <c r="I45" s="27" t="s">
        <v>149</v>
      </c>
      <c r="J45" s="27" t="s">
        <v>153</v>
      </c>
    </row>
    <row r="46" spans="2:11" ht="15.75" customHeight="1">
      <c r="B46" s="27" t="s">
        <v>190</v>
      </c>
      <c r="C46" s="29" t="s">
        <v>191</v>
      </c>
      <c r="D46" s="29"/>
      <c r="E46" s="29"/>
      <c r="F46" s="29"/>
      <c r="G46" s="29"/>
      <c r="H46" s="13" t="s">
        <v>156</v>
      </c>
      <c r="I46" s="13" t="s">
        <v>14</v>
      </c>
      <c r="J46" s="13">
        <v>2</v>
      </c>
    </row>
    <row r="47" spans="2:11" ht="15.75" customHeight="1">
      <c r="B47" s="27" t="s">
        <v>192</v>
      </c>
      <c r="C47" s="29" t="s">
        <v>193</v>
      </c>
      <c r="D47" s="29"/>
      <c r="E47" s="29"/>
      <c r="F47" s="29"/>
      <c r="G47" s="29"/>
      <c r="H47" s="13" t="s">
        <v>156</v>
      </c>
      <c r="I47" s="13" t="s">
        <v>14</v>
      </c>
      <c r="J47" s="13">
        <v>2</v>
      </c>
    </row>
    <row r="48" spans="2:11" ht="15.75" customHeight="1">
      <c r="B48" s="27" t="s">
        <v>194</v>
      </c>
      <c r="C48" s="29" t="s">
        <v>195</v>
      </c>
      <c r="D48" s="29"/>
      <c r="E48" s="29"/>
      <c r="F48" s="29"/>
      <c r="G48" s="29"/>
      <c r="H48" s="13" t="s">
        <v>156</v>
      </c>
      <c r="I48" s="13" t="s">
        <v>14</v>
      </c>
      <c r="J48" s="13">
        <v>2</v>
      </c>
    </row>
    <row r="49" spans="2:11" ht="15.75" customHeight="1">
      <c r="B49" s="27" t="s">
        <v>196</v>
      </c>
      <c r="C49" s="29" t="s">
        <v>197</v>
      </c>
      <c r="D49" s="29"/>
      <c r="E49" s="29"/>
      <c r="F49" s="29"/>
      <c r="G49" s="29"/>
      <c r="H49" s="13" t="s">
        <v>156</v>
      </c>
      <c r="I49" s="13" t="s">
        <v>14</v>
      </c>
      <c r="J49" s="13">
        <v>3</v>
      </c>
    </row>
    <row r="50" spans="2:11" ht="15.75" customHeight="1">
      <c r="B50" s="27" t="s">
        <v>198</v>
      </c>
      <c r="C50" s="29" t="s">
        <v>199</v>
      </c>
      <c r="D50" s="29"/>
      <c r="E50" s="29"/>
      <c r="F50" s="29"/>
      <c r="G50" s="29"/>
      <c r="H50" s="13" t="s">
        <v>163</v>
      </c>
      <c r="I50" s="13" t="s">
        <v>14</v>
      </c>
      <c r="J50" s="13">
        <v>2</v>
      </c>
    </row>
    <row r="51" spans="2:11" ht="15.75" customHeight="1">
      <c r="B51" s="27" t="s">
        <v>200</v>
      </c>
      <c r="C51" s="29" t="s">
        <v>201</v>
      </c>
      <c r="D51" s="29"/>
      <c r="E51" s="29"/>
      <c r="F51" s="29"/>
      <c r="G51" s="29"/>
      <c r="H51" s="13" t="s">
        <v>163</v>
      </c>
      <c r="I51" s="13" t="s">
        <v>14</v>
      </c>
      <c r="J51" s="13">
        <v>3</v>
      </c>
      <c r="K51" s="15">
        <f>SUM(J46:J51)</f>
        <v>14</v>
      </c>
    </row>
    <row r="52" spans="2:11" ht="15.75" customHeight="1"/>
    <row r="53" spans="2:11" ht="15.75" customHeight="1"/>
    <row r="54" spans="2:11" ht="15.75" customHeight="1">
      <c r="B54" s="6" t="s">
        <v>0</v>
      </c>
      <c r="C54" s="6" t="s">
        <v>1</v>
      </c>
      <c r="D54" s="6" t="s">
        <v>2</v>
      </c>
      <c r="E54" s="6" t="s">
        <v>146</v>
      </c>
      <c r="F54" s="6" t="s">
        <v>147</v>
      </c>
      <c r="G54" s="6" t="s">
        <v>148</v>
      </c>
      <c r="H54" s="6" t="s">
        <v>5</v>
      </c>
      <c r="I54" s="6" t="s">
        <v>149</v>
      </c>
      <c r="J54" s="6" t="s">
        <v>150</v>
      </c>
    </row>
    <row r="55" spans="2:11" ht="102">
      <c r="B55" s="6" t="s">
        <v>130</v>
      </c>
      <c r="C55" s="5" t="s">
        <v>131</v>
      </c>
      <c r="D55" s="5" t="s">
        <v>23</v>
      </c>
      <c r="E55" s="5" t="s">
        <v>132</v>
      </c>
      <c r="F55" s="5" t="s">
        <v>133</v>
      </c>
      <c r="G55" s="12" t="s">
        <v>151</v>
      </c>
      <c r="H55" s="5" t="s">
        <v>134</v>
      </c>
      <c r="I55" s="5" t="s">
        <v>14</v>
      </c>
      <c r="J55" s="5" t="s">
        <v>15</v>
      </c>
    </row>
    <row r="56" spans="2:11" ht="15.75" customHeight="1">
      <c r="C56" s="10"/>
      <c r="D56" s="10"/>
      <c r="E56" s="10"/>
      <c r="F56" s="10"/>
      <c r="G56" s="10"/>
      <c r="H56" s="10"/>
      <c r="I56" s="10"/>
      <c r="J56" s="10"/>
    </row>
    <row r="57" spans="2:11" ht="15.75" customHeight="1">
      <c r="B57" s="14"/>
      <c r="C57" s="10"/>
      <c r="D57" s="10"/>
      <c r="E57" s="10"/>
      <c r="F57" s="10"/>
      <c r="G57" s="10"/>
      <c r="H57" s="10"/>
      <c r="I57" s="10"/>
      <c r="J57" s="10"/>
    </row>
    <row r="58" spans="2:11" ht="15.75" customHeight="1">
      <c r="B58" s="27" t="s">
        <v>0</v>
      </c>
      <c r="C58" s="30" t="s">
        <v>152</v>
      </c>
      <c r="D58" s="30"/>
      <c r="E58" s="30"/>
      <c r="F58" s="30"/>
      <c r="G58" s="30"/>
      <c r="H58" s="27" t="s">
        <v>148</v>
      </c>
      <c r="I58" s="27" t="s">
        <v>149</v>
      </c>
      <c r="J58" s="27" t="s">
        <v>153</v>
      </c>
    </row>
    <row r="59" spans="2:11" ht="15.75" customHeight="1">
      <c r="B59" s="27" t="s">
        <v>202</v>
      </c>
      <c r="C59" s="29" t="s">
        <v>203</v>
      </c>
      <c r="D59" s="29"/>
      <c r="E59" s="29"/>
      <c r="F59" s="29"/>
      <c r="G59" s="29"/>
      <c r="H59" s="13" t="s">
        <v>156</v>
      </c>
      <c r="I59" s="13" t="s">
        <v>14</v>
      </c>
      <c r="J59" s="40">
        <v>2</v>
      </c>
    </row>
    <row r="60" spans="2:11" ht="15.75" customHeight="1">
      <c r="B60" s="27" t="s">
        <v>204</v>
      </c>
      <c r="C60" s="29" t="s">
        <v>205</v>
      </c>
      <c r="D60" s="29"/>
      <c r="E60" s="29"/>
      <c r="F60" s="29"/>
      <c r="G60" s="29"/>
      <c r="H60" s="13" t="s">
        <v>156</v>
      </c>
      <c r="I60" s="13" t="s">
        <v>14</v>
      </c>
      <c r="J60" s="40">
        <v>4</v>
      </c>
    </row>
    <row r="61" spans="2:11" ht="15.75" customHeight="1">
      <c r="B61" s="27" t="s">
        <v>206</v>
      </c>
      <c r="C61" s="29" t="s">
        <v>207</v>
      </c>
      <c r="D61" s="29"/>
      <c r="E61" s="29"/>
      <c r="F61" s="29"/>
      <c r="G61" s="29"/>
      <c r="H61" s="13" t="s">
        <v>163</v>
      </c>
      <c r="I61" s="13" t="s">
        <v>14</v>
      </c>
      <c r="J61" s="40">
        <v>2</v>
      </c>
    </row>
    <row r="62" spans="2:11" ht="15.75" customHeight="1">
      <c r="B62" s="27" t="s">
        <v>208</v>
      </c>
      <c r="C62" s="29" t="s">
        <v>209</v>
      </c>
      <c r="D62" s="29"/>
      <c r="E62" s="29"/>
      <c r="F62" s="29"/>
      <c r="G62" s="29"/>
      <c r="H62" s="13" t="s">
        <v>163</v>
      </c>
      <c r="I62" s="13" t="s">
        <v>14</v>
      </c>
      <c r="J62" s="40">
        <v>3</v>
      </c>
    </row>
    <row r="63" spans="2:11" ht="15.75" customHeight="1">
      <c r="B63" s="27" t="s">
        <v>210</v>
      </c>
      <c r="C63" s="29" t="s">
        <v>211</v>
      </c>
      <c r="D63" s="29"/>
      <c r="E63" s="29"/>
      <c r="F63" s="29"/>
      <c r="G63" s="29"/>
      <c r="H63" s="13" t="s">
        <v>151</v>
      </c>
      <c r="I63" s="13" t="s">
        <v>14</v>
      </c>
      <c r="J63" s="40">
        <v>2</v>
      </c>
    </row>
    <row r="64" spans="2:11" ht="15.75" customHeight="1">
      <c r="B64" s="27" t="s">
        <v>212</v>
      </c>
      <c r="C64" s="29" t="s">
        <v>213</v>
      </c>
      <c r="D64" s="29"/>
      <c r="E64" s="29"/>
      <c r="F64" s="29"/>
      <c r="G64" s="29"/>
      <c r="H64" s="13" t="s">
        <v>151</v>
      </c>
      <c r="I64" s="13" t="s">
        <v>14</v>
      </c>
      <c r="J64" s="40">
        <v>3</v>
      </c>
      <c r="K64" s="15">
        <f>SUM(J59:J64)</f>
        <v>16</v>
      </c>
    </row>
    <row r="65" spans="11:12" ht="15.75" customHeight="1"/>
    <row r="66" spans="11:12" ht="15.75" customHeight="1"/>
    <row r="67" spans="11:12" ht="15.75" customHeight="1">
      <c r="K67" t="s">
        <v>214</v>
      </c>
      <c r="L67" s="18">
        <f>SUM(K13,K38,K64,K25,K51)</f>
        <v>67</v>
      </c>
    </row>
    <row r="68" spans="11:12" ht="15.75" customHeight="1"/>
    <row r="69" spans="11:12" ht="15.75" customHeight="1"/>
    <row r="70" spans="11:12" ht="15.75" customHeight="1"/>
    <row r="71" spans="11:12" ht="15.75" customHeight="1"/>
    <row r="72" spans="11:12" ht="15.75" customHeight="1"/>
    <row r="73" spans="11:12" ht="15.75" customHeight="1"/>
    <row r="74" spans="11:12" ht="15.75" customHeight="1"/>
    <row r="75" spans="11:12" ht="15.75" customHeight="1"/>
    <row r="76" spans="11:12" ht="15.75" customHeight="1"/>
    <row r="77" spans="11:12" ht="15.75" customHeight="1"/>
    <row r="78" spans="11:12" ht="15.75" customHeight="1"/>
    <row r="79" spans="11:12" ht="15.75" customHeight="1"/>
    <row r="80" spans="11: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34">
    <mergeCell ref="C12:G12"/>
    <mergeCell ref="C7:G7"/>
    <mergeCell ref="C8:G8"/>
    <mergeCell ref="C9:G9"/>
    <mergeCell ref="C10:G10"/>
    <mergeCell ref="C11:G11"/>
    <mergeCell ref="C13:G13"/>
    <mergeCell ref="C20:G20"/>
    <mergeCell ref="C21:G21"/>
    <mergeCell ref="C22:G22"/>
    <mergeCell ref="C23:G23"/>
    <mergeCell ref="C36:G36"/>
    <mergeCell ref="C37:G37"/>
    <mergeCell ref="C45:G45"/>
    <mergeCell ref="C38:G38"/>
    <mergeCell ref="C24:G24"/>
    <mergeCell ref="C25:G25"/>
    <mergeCell ref="C32:G32"/>
    <mergeCell ref="C33:G33"/>
    <mergeCell ref="C34:G34"/>
    <mergeCell ref="C35:G35"/>
    <mergeCell ref="C62:G62"/>
    <mergeCell ref="C63:G63"/>
    <mergeCell ref="C64:G64"/>
    <mergeCell ref="C49:G49"/>
    <mergeCell ref="C50:G50"/>
    <mergeCell ref="C51:G51"/>
    <mergeCell ref="C58:G58"/>
    <mergeCell ref="C59:G59"/>
    <mergeCell ref="C46:G46"/>
    <mergeCell ref="C47:G47"/>
    <mergeCell ref="C48:G48"/>
    <mergeCell ref="C60:G60"/>
    <mergeCell ref="C61:G6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E87E0-3988-4B23-A4B7-492BAB2D4D80}">
  <sheetPr>
    <outlinePr summaryBelow="0" summaryRight="0"/>
  </sheetPr>
  <dimension ref="A1:AA967"/>
  <sheetViews>
    <sheetView topLeftCell="A36" workbookViewId="0">
      <selection activeCell="K58" sqref="K58:L58"/>
    </sheetView>
  </sheetViews>
  <sheetFormatPr defaultColWidth="12.5703125" defaultRowHeight="15" customHeight="1"/>
  <cols>
    <col min="1" max="2" width="12.42578125" customWidth="1"/>
    <col min="3" max="4" width="18.85546875" customWidth="1"/>
    <col min="5" max="5" width="20.42578125" customWidth="1"/>
    <col min="6" max="6" width="56.140625" customWidth="1"/>
    <col min="7" max="7" width="12.42578125" customWidth="1"/>
    <col min="8" max="8" width="18.28515625" customWidth="1"/>
    <col min="9" max="27" width="12.42578125" customWidth="1"/>
  </cols>
  <sheetData>
    <row r="1" spans="1:27" ht="15.75" customHeight="1"/>
    <row r="2" spans="1:27" ht="15.75" customHeight="1"/>
    <row r="3" spans="1:27" ht="15.75" customHeight="1">
      <c r="B3" s="6" t="s">
        <v>0</v>
      </c>
      <c r="C3" s="6" t="s">
        <v>1</v>
      </c>
      <c r="D3" s="6" t="s">
        <v>2</v>
      </c>
      <c r="E3" s="6" t="s">
        <v>146</v>
      </c>
      <c r="F3" s="6" t="s">
        <v>147</v>
      </c>
      <c r="G3" s="6" t="s">
        <v>148</v>
      </c>
      <c r="H3" s="6" t="s">
        <v>5</v>
      </c>
      <c r="I3" s="6" t="s">
        <v>149</v>
      </c>
      <c r="J3" s="6" t="s">
        <v>150</v>
      </c>
    </row>
    <row r="4" spans="1:27" ht="89.25">
      <c r="A4" s="2"/>
      <c r="B4" s="6" t="s">
        <v>53</v>
      </c>
      <c r="C4" s="5" t="s">
        <v>54</v>
      </c>
      <c r="D4" s="5" t="s">
        <v>23</v>
      </c>
      <c r="E4" s="5" t="s">
        <v>55</v>
      </c>
      <c r="F4" s="5" t="s">
        <v>56</v>
      </c>
      <c r="G4" s="12" t="s">
        <v>156</v>
      </c>
      <c r="H4" s="5" t="s">
        <v>57</v>
      </c>
      <c r="I4" s="5" t="s">
        <v>14</v>
      </c>
      <c r="J4" s="5" t="s">
        <v>15</v>
      </c>
      <c r="L4" s="9"/>
      <c r="M4" s="2"/>
      <c r="N4" s="2"/>
      <c r="O4" s="2"/>
      <c r="P4" s="2"/>
      <c r="Q4" s="2"/>
      <c r="R4" s="2"/>
      <c r="S4" s="2"/>
      <c r="T4" s="2"/>
      <c r="U4" s="2"/>
      <c r="V4" s="2"/>
      <c r="W4" s="2"/>
      <c r="X4" s="2"/>
      <c r="Y4" s="2"/>
      <c r="Z4" s="2"/>
      <c r="AA4" s="2"/>
    </row>
    <row r="5" spans="1:27" ht="12.75">
      <c r="A5" s="9"/>
      <c r="C5" s="10"/>
      <c r="D5" s="10"/>
      <c r="E5" s="10"/>
      <c r="F5" s="10"/>
      <c r="G5" s="10"/>
      <c r="H5" s="10"/>
      <c r="I5" s="10"/>
      <c r="J5" s="10"/>
      <c r="K5" s="10"/>
      <c r="L5" s="9"/>
      <c r="M5" s="2"/>
      <c r="N5" s="2"/>
      <c r="O5" s="2"/>
      <c r="P5" s="2"/>
      <c r="Q5" s="2"/>
      <c r="R5" s="2"/>
      <c r="S5" s="2"/>
      <c r="T5" s="2"/>
      <c r="U5" s="2"/>
      <c r="V5" s="2"/>
      <c r="W5" s="2"/>
      <c r="X5" s="2"/>
      <c r="Y5" s="2"/>
      <c r="Z5" s="2"/>
      <c r="AA5" s="2"/>
    </row>
    <row r="6" spans="1:27" ht="12.75">
      <c r="A6" s="9"/>
      <c r="B6" s="14"/>
      <c r="C6" s="10"/>
      <c r="D6" s="10"/>
      <c r="E6" s="10"/>
      <c r="F6" s="10"/>
      <c r="G6" s="10"/>
      <c r="H6" s="10"/>
      <c r="I6" s="10"/>
      <c r="J6" s="10"/>
      <c r="K6" s="10"/>
      <c r="L6" s="9"/>
      <c r="M6" s="2"/>
      <c r="N6" s="2"/>
      <c r="O6" s="2"/>
      <c r="P6" s="2"/>
      <c r="Q6" s="2"/>
      <c r="R6" s="2"/>
      <c r="S6" s="2"/>
      <c r="T6" s="2"/>
      <c r="U6" s="2"/>
      <c r="V6" s="2"/>
      <c r="W6" s="2"/>
      <c r="X6" s="2"/>
      <c r="Y6" s="2"/>
      <c r="Z6" s="2"/>
      <c r="AA6" s="2"/>
    </row>
    <row r="7" spans="1:27" ht="15.75">
      <c r="A7" s="9"/>
      <c r="B7" s="27" t="s">
        <v>0</v>
      </c>
      <c r="C7" s="30" t="s">
        <v>152</v>
      </c>
      <c r="D7" s="30"/>
      <c r="E7" s="30"/>
      <c r="F7" s="30"/>
      <c r="G7" s="30"/>
      <c r="H7" s="27" t="s">
        <v>148</v>
      </c>
      <c r="I7" s="27" t="s">
        <v>149</v>
      </c>
      <c r="J7" s="27" t="s">
        <v>153</v>
      </c>
      <c r="K7" s="14"/>
      <c r="O7" s="2"/>
      <c r="P7" s="2"/>
      <c r="Q7" s="2"/>
      <c r="R7" s="2"/>
      <c r="S7" s="2"/>
      <c r="T7" s="2"/>
      <c r="U7" s="2"/>
      <c r="V7" s="2"/>
      <c r="W7" s="2"/>
      <c r="X7" s="2"/>
      <c r="Y7" s="2"/>
      <c r="Z7" s="2"/>
      <c r="AA7" s="2"/>
    </row>
    <row r="8" spans="1:27">
      <c r="A8" s="9"/>
      <c r="B8" s="27" t="s">
        <v>215</v>
      </c>
      <c r="C8" s="29" t="s">
        <v>216</v>
      </c>
      <c r="D8" s="29"/>
      <c r="E8" s="29"/>
      <c r="F8" s="29"/>
      <c r="G8" s="29"/>
      <c r="H8" s="13" t="s">
        <v>156</v>
      </c>
      <c r="I8" s="13" t="s">
        <v>14</v>
      </c>
      <c r="J8" s="13">
        <v>3</v>
      </c>
      <c r="K8" s="14"/>
      <c r="O8" s="2"/>
      <c r="P8" s="2"/>
      <c r="Q8" s="2"/>
      <c r="R8" s="2"/>
      <c r="S8" s="2"/>
      <c r="T8" s="2"/>
      <c r="U8" s="2"/>
      <c r="V8" s="2"/>
      <c r="W8" s="2"/>
      <c r="X8" s="2"/>
      <c r="Y8" s="2"/>
      <c r="Z8" s="2"/>
      <c r="AA8" s="2"/>
    </row>
    <row r="9" spans="1:27">
      <c r="A9" s="9"/>
      <c r="B9" s="27" t="s">
        <v>217</v>
      </c>
      <c r="C9" s="29" t="s">
        <v>218</v>
      </c>
      <c r="D9" s="29"/>
      <c r="E9" s="29"/>
      <c r="F9" s="29"/>
      <c r="G9" s="29"/>
      <c r="H9" s="13" t="s">
        <v>156</v>
      </c>
      <c r="I9" s="13" t="s">
        <v>14</v>
      </c>
      <c r="J9" s="13">
        <v>2</v>
      </c>
      <c r="K9" s="14"/>
      <c r="O9" s="2"/>
      <c r="P9" s="2"/>
      <c r="Q9" s="2"/>
      <c r="R9" s="2"/>
      <c r="S9" s="2"/>
      <c r="T9" s="2"/>
      <c r="U9" s="2"/>
      <c r="V9" s="2"/>
      <c r="W9" s="2"/>
      <c r="X9" s="2"/>
      <c r="Y9" s="2"/>
      <c r="Z9" s="2"/>
      <c r="AA9" s="2"/>
    </row>
    <row r="10" spans="1:27" ht="15.75" customHeight="1">
      <c r="A10" s="14"/>
      <c r="B10" s="27" t="s">
        <v>219</v>
      </c>
      <c r="C10" s="29" t="s">
        <v>220</v>
      </c>
      <c r="D10" s="29"/>
      <c r="E10" s="29"/>
      <c r="F10" s="29"/>
      <c r="G10" s="29"/>
      <c r="H10" s="13" t="s">
        <v>156</v>
      </c>
      <c r="I10" s="13" t="s">
        <v>14</v>
      </c>
      <c r="J10" s="13">
        <v>1</v>
      </c>
      <c r="K10" s="14"/>
    </row>
    <row r="11" spans="1:27" ht="15.75" customHeight="1">
      <c r="A11" s="14"/>
      <c r="B11" s="27" t="s">
        <v>221</v>
      </c>
      <c r="C11" s="29" t="s">
        <v>222</v>
      </c>
      <c r="D11" s="29"/>
      <c r="E11" s="29"/>
      <c r="F11" s="29"/>
      <c r="G11" s="29"/>
      <c r="H11" s="13" t="s">
        <v>163</v>
      </c>
      <c r="I11" s="13" t="s">
        <v>14</v>
      </c>
      <c r="J11" s="13">
        <v>2</v>
      </c>
      <c r="K11" s="14"/>
    </row>
    <row r="12" spans="1:27">
      <c r="B12" s="27" t="s">
        <v>223</v>
      </c>
      <c r="C12" s="29" t="s">
        <v>224</v>
      </c>
      <c r="D12" s="29"/>
      <c r="E12" s="29"/>
      <c r="F12" s="29"/>
      <c r="G12" s="29"/>
      <c r="H12" s="17" t="s">
        <v>163</v>
      </c>
      <c r="I12" s="17" t="s">
        <v>14</v>
      </c>
      <c r="J12" s="17">
        <v>2</v>
      </c>
    </row>
    <row r="13" spans="1:27">
      <c r="A13" s="14"/>
      <c r="B13" s="27" t="s">
        <v>225</v>
      </c>
      <c r="C13" s="29" t="s">
        <v>226</v>
      </c>
      <c r="D13" s="29"/>
      <c r="E13" s="29"/>
      <c r="F13" s="29"/>
      <c r="G13" s="29"/>
      <c r="H13" s="13" t="s">
        <v>151</v>
      </c>
      <c r="I13" s="13" t="s">
        <v>14</v>
      </c>
      <c r="J13" s="13">
        <v>2</v>
      </c>
      <c r="K13" s="15">
        <f>SUM(J8:J13)</f>
        <v>12</v>
      </c>
    </row>
    <row r="14" spans="1:27" ht="12.75">
      <c r="B14" s="14"/>
      <c r="C14" s="14"/>
      <c r="D14" s="14"/>
      <c r="E14" s="14"/>
      <c r="F14" s="14"/>
      <c r="G14" s="14"/>
      <c r="H14" s="14"/>
      <c r="I14" s="14"/>
      <c r="J14" s="14"/>
    </row>
    <row r="15" spans="1:27" ht="12.75"/>
    <row r="16" spans="1:27">
      <c r="B16" s="6" t="s">
        <v>0</v>
      </c>
      <c r="C16" s="6" t="s">
        <v>1</v>
      </c>
      <c r="D16" s="6" t="s">
        <v>2</v>
      </c>
      <c r="E16" s="6" t="s">
        <v>146</v>
      </c>
      <c r="F16" s="6" t="s">
        <v>147</v>
      </c>
      <c r="G16" s="6" t="s">
        <v>148</v>
      </c>
      <c r="H16" s="6" t="s">
        <v>5</v>
      </c>
      <c r="I16" s="6" t="s">
        <v>149</v>
      </c>
      <c r="J16" s="6" t="s">
        <v>150</v>
      </c>
    </row>
    <row r="17" spans="2:11" ht="76.5">
      <c r="B17" s="6" t="s">
        <v>58</v>
      </c>
      <c r="C17" s="5" t="s">
        <v>59</v>
      </c>
      <c r="D17" s="5" t="s">
        <v>23</v>
      </c>
      <c r="E17" s="5" t="s">
        <v>60</v>
      </c>
      <c r="F17" s="5" t="s">
        <v>61</v>
      </c>
      <c r="G17" s="12" t="s">
        <v>151</v>
      </c>
      <c r="H17" s="5" t="s">
        <v>62</v>
      </c>
      <c r="I17" s="5" t="s">
        <v>14</v>
      </c>
      <c r="J17" s="5" t="s">
        <v>15</v>
      </c>
    </row>
    <row r="18" spans="2:11" ht="15.75" customHeight="1">
      <c r="C18" s="10"/>
      <c r="D18" s="10"/>
      <c r="E18" s="10"/>
      <c r="F18" s="10"/>
      <c r="G18" s="10"/>
      <c r="H18" s="10"/>
      <c r="I18" s="10"/>
      <c r="J18" s="10"/>
    </row>
    <row r="19" spans="2:11" ht="15.75" customHeight="1">
      <c r="B19" s="14"/>
      <c r="C19" s="10"/>
      <c r="D19" s="10"/>
      <c r="E19" s="10"/>
      <c r="F19" s="10"/>
      <c r="G19" s="10"/>
      <c r="H19" s="10"/>
      <c r="I19" s="10"/>
      <c r="J19" s="10"/>
    </row>
    <row r="20" spans="2:11" ht="15.75">
      <c r="B20" s="27" t="s">
        <v>0</v>
      </c>
      <c r="C20" s="30" t="s">
        <v>152</v>
      </c>
      <c r="D20" s="30"/>
      <c r="E20" s="30"/>
      <c r="F20" s="30"/>
      <c r="G20" s="30"/>
      <c r="H20" s="27" t="s">
        <v>148</v>
      </c>
      <c r="I20" s="27" t="s">
        <v>149</v>
      </c>
      <c r="J20" s="27" t="s">
        <v>153</v>
      </c>
    </row>
    <row r="21" spans="2:11">
      <c r="B21" s="27" t="s">
        <v>227</v>
      </c>
      <c r="C21" s="29" t="s">
        <v>228</v>
      </c>
      <c r="D21" s="29"/>
      <c r="E21" s="29"/>
      <c r="F21" s="29"/>
      <c r="G21" s="29"/>
      <c r="H21" s="13" t="s">
        <v>156</v>
      </c>
      <c r="I21" s="13" t="s">
        <v>14</v>
      </c>
      <c r="J21" s="13">
        <v>2</v>
      </c>
    </row>
    <row r="22" spans="2:11">
      <c r="B22" s="27" t="s">
        <v>229</v>
      </c>
      <c r="C22" s="29" t="s">
        <v>230</v>
      </c>
      <c r="D22" s="29"/>
      <c r="E22" s="29"/>
      <c r="F22" s="29"/>
      <c r="G22" s="29"/>
      <c r="H22" s="13" t="s">
        <v>156</v>
      </c>
      <c r="I22" s="13" t="s">
        <v>14</v>
      </c>
      <c r="J22" s="13">
        <v>2</v>
      </c>
    </row>
    <row r="23" spans="2:11">
      <c r="B23" s="27" t="s">
        <v>231</v>
      </c>
      <c r="C23" s="29" t="s">
        <v>232</v>
      </c>
      <c r="D23" s="29"/>
      <c r="E23" s="29"/>
      <c r="F23" s="29"/>
      <c r="G23" s="29"/>
      <c r="H23" s="13" t="s">
        <v>163</v>
      </c>
      <c r="I23" s="13" t="s">
        <v>14</v>
      </c>
      <c r="J23" s="13">
        <v>2</v>
      </c>
    </row>
    <row r="24" spans="2:11" ht="15.75" customHeight="1">
      <c r="B24" s="27" t="s">
        <v>233</v>
      </c>
      <c r="C24" s="29" t="s">
        <v>234</v>
      </c>
      <c r="D24" s="29"/>
      <c r="E24" s="29"/>
      <c r="F24" s="29"/>
      <c r="G24" s="29"/>
      <c r="H24" s="13" t="s">
        <v>163</v>
      </c>
      <c r="I24" s="13" t="s">
        <v>14</v>
      </c>
      <c r="J24" s="13">
        <v>1</v>
      </c>
    </row>
    <row r="25" spans="2:11" ht="15.75" customHeight="1">
      <c r="B25" s="27" t="s">
        <v>235</v>
      </c>
      <c r="C25" s="29" t="s">
        <v>236</v>
      </c>
      <c r="D25" s="29"/>
      <c r="E25" s="29"/>
      <c r="F25" s="29"/>
      <c r="G25" s="29"/>
      <c r="H25" s="13" t="s">
        <v>151</v>
      </c>
      <c r="I25" s="13" t="s">
        <v>14</v>
      </c>
      <c r="J25" s="13">
        <v>1</v>
      </c>
      <c r="K25" s="15">
        <f>SUM(J21:J26)</f>
        <v>10</v>
      </c>
    </row>
    <row r="26" spans="2:11" ht="15.75" customHeight="1">
      <c r="B26" s="27" t="s">
        <v>237</v>
      </c>
      <c r="C26" s="29" t="s">
        <v>238</v>
      </c>
      <c r="D26" s="29"/>
      <c r="E26" s="29"/>
      <c r="F26" s="29"/>
      <c r="G26" s="29"/>
      <c r="H26" s="13" t="s">
        <v>151</v>
      </c>
      <c r="I26" s="13" t="s">
        <v>14</v>
      </c>
      <c r="J26" s="13">
        <v>2</v>
      </c>
      <c r="K26" s="15"/>
    </row>
    <row r="27" spans="2:11" ht="15.75" customHeight="1"/>
    <row r="28" spans="2:11" ht="12.75"/>
    <row r="29" spans="2:11">
      <c r="B29" s="6" t="s">
        <v>0</v>
      </c>
      <c r="C29" s="6" t="s">
        <v>1</v>
      </c>
      <c r="D29" s="6" t="s">
        <v>2</v>
      </c>
      <c r="E29" s="6" t="s">
        <v>146</v>
      </c>
      <c r="F29" s="6" t="s">
        <v>147</v>
      </c>
      <c r="G29" s="6" t="s">
        <v>148</v>
      </c>
      <c r="H29" s="6" t="s">
        <v>5</v>
      </c>
      <c r="I29" s="6" t="s">
        <v>149</v>
      </c>
      <c r="J29" s="6" t="s">
        <v>150</v>
      </c>
    </row>
    <row r="30" spans="2:11" ht="63.75">
      <c r="B30" s="6" t="s">
        <v>73</v>
      </c>
      <c r="C30" s="5" t="s">
        <v>74</v>
      </c>
      <c r="D30" s="5" t="s">
        <v>23</v>
      </c>
      <c r="E30" s="5" t="s">
        <v>75</v>
      </c>
      <c r="F30" s="5" t="s">
        <v>76</v>
      </c>
      <c r="G30" s="12" t="s">
        <v>151</v>
      </c>
      <c r="H30" s="5" t="s">
        <v>77</v>
      </c>
      <c r="I30" s="5" t="s">
        <v>14</v>
      </c>
      <c r="J30" s="5" t="s">
        <v>15</v>
      </c>
    </row>
    <row r="31" spans="2:11" ht="12.75">
      <c r="C31" s="10"/>
      <c r="D31" s="10"/>
      <c r="E31" s="10"/>
      <c r="F31" s="10"/>
      <c r="G31" s="10"/>
      <c r="H31" s="10"/>
      <c r="I31" s="10"/>
      <c r="J31" s="10"/>
    </row>
    <row r="32" spans="2:11" ht="15.75" customHeight="1">
      <c r="B32" s="14"/>
      <c r="C32" s="10"/>
      <c r="D32" s="10"/>
      <c r="E32" s="10"/>
      <c r="F32" s="10"/>
      <c r="G32" s="10"/>
      <c r="H32" s="10"/>
      <c r="I32" s="10"/>
      <c r="J32" s="10"/>
    </row>
    <row r="33" spans="2:11" ht="15.75" customHeight="1">
      <c r="B33" s="27" t="s">
        <v>0</v>
      </c>
      <c r="C33" s="30" t="s">
        <v>152</v>
      </c>
      <c r="D33" s="30"/>
      <c r="E33" s="30"/>
      <c r="F33" s="30"/>
      <c r="G33" s="30"/>
      <c r="H33" s="27" t="s">
        <v>148</v>
      </c>
      <c r="I33" s="27" t="s">
        <v>149</v>
      </c>
      <c r="J33" s="27" t="s">
        <v>153</v>
      </c>
    </row>
    <row r="34" spans="2:11" ht="15.75" customHeight="1">
      <c r="B34" s="27" t="s">
        <v>239</v>
      </c>
      <c r="C34" s="29" t="s">
        <v>240</v>
      </c>
      <c r="D34" s="29"/>
      <c r="E34" s="29"/>
      <c r="F34" s="29"/>
      <c r="G34" s="29"/>
      <c r="H34" s="13" t="s">
        <v>156</v>
      </c>
      <c r="I34" s="13" t="s">
        <v>14</v>
      </c>
      <c r="J34" s="13">
        <v>3</v>
      </c>
    </row>
    <row r="35" spans="2:11">
      <c r="B35" s="27" t="s">
        <v>241</v>
      </c>
      <c r="C35" s="29" t="s">
        <v>242</v>
      </c>
      <c r="D35" s="29"/>
      <c r="E35" s="29"/>
      <c r="F35" s="29"/>
      <c r="G35" s="29"/>
      <c r="H35" s="13" t="s">
        <v>156</v>
      </c>
      <c r="I35" s="13" t="s">
        <v>14</v>
      </c>
      <c r="J35" s="13">
        <v>3</v>
      </c>
    </row>
    <row r="36" spans="2:11">
      <c r="B36" s="27" t="s">
        <v>243</v>
      </c>
      <c r="C36" s="29" t="s">
        <v>244</v>
      </c>
      <c r="D36" s="29"/>
      <c r="E36" s="29"/>
      <c r="F36" s="29"/>
      <c r="G36" s="29"/>
      <c r="H36" s="13" t="s">
        <v>163</v>
      </c>
      <c r="I36" s="13" t="s">
        <v>14</v>
      </c>
      <c r="J36" s="13">
        <v>3</v>
      </c>
    </row>
    <row r="37" spans="2:11">
      <c r="B37" s="27" t="s">
        <v>245</v>
      </c>
      <c r="C37" s="29" t="s">
        <v>246</v>
      </c>
      <c r="D37" s="29"/>
      <c r="E37" s="29"/>
      <c r="F37" s="29"/>
      <c r="G37" s="29"/>
      <c r="H37" s="13" t="s">
        <v>163</v>
      </c>
      <c r="I37" s="13" t="s">
        <v>14</v>
      </c>
      <c r="J37" s="13">
        <v>3</v>
      </c>
    </row>
    <row r="38" spans="2:11" ht="15.75" customHeight="1">
      <c r="B38" s="27" t="s">
        <v>247</v>
      </c>
      <c r="C38" s="29" t="s">
        <v>248</v>
      </c>
      <c r="D38" s="29"/>
      <c r="E38" s="29"/>
      <c r="F38" s="29"/>
      <c r="G38" s="29"/>
      <c r="H38" s="13" t="s">
        <v>151</v>
      </c>
      <c r="I38" s="13" t="s">
        <v>14</v>
      </c>
      <c r="J38" s="13">
        <v>3</v>
      </c>
    </row>
    <row r="39" spans="2:11">
      <c r="B39" s="27" t="s">
        <v>249</v>
      </c>
      <c r="C39" s="29" t="s">
        <v>250</v>
      </c>
      <c r="D39" s="29"/>
      <c r="E39" s="29"/>
      <c r="F39" s="29"/>
      <c r="G39" s="29"/>
      <c r="H39" s="13" t="s">
        <v>151</v>
      </c>
      <c r="I39" s="13" t="s">
        <v>14</v>
      </c>
      <c r="J39" s="13">
        <v>2</v>
      </c>
      <c r="K39" s="15">
        <f>SUM(J34:J40)</f>
        <v>20</v>
      </c>
    </row>
    <row r="40" spans="2:11">
      <c r="B40" s="27" t="s">
        <v>251</v>
      </c>
      <c r="C40" s="29" t="s">
        <v>252</v>
      </c>
      <c r="D40" s="29"/>
      <c r="E40" s="29"/>
      <c r="F40" s="29"/>
      <c r="G40" s="29"/>
      <c r="H40" s="13" t="s">
        <v>151</v>
      </c>
      <c r="I40" s="13" t="s">
        <v>14</v>
      </c>
      <c r="J40" s="13">
        <v>3</v>
      </c>
      <c r="K40" s="15"/>
    </row>
    <row r="41" spans="2:11" ht="15.75" customHeight="1"/>
    <row r="42" spans="2:11" ht="15.75" customHeight="1"/>
    <row r="43" spans="2:11" ht="15.75" customHeight="1">
      <c r="B43" s="6" t="s">
        <v>0</v>
      </c>
      <c r="C43" s="6" t="s">
        <v>1</v>
      </c>
      <c r="D43" s="6" t="s">
        <v>2</v>
      </c>
      <c r="E43" s="6" t="s">
        <v>146</v>
      </c>
      <c r="F43" s="6" t="s">
        <v>147</v>
      </c>
      <c r="G43" s="6" t="s">
        <v>148</v>
      </c>
      <c r="H43" s="6" t="s">
        <v>5</v>
      </c>
      <c r="I43" s="6" t="s">
        <v>149</v>
      </c>
      <c r="J43" s="6" t="s">
        <v>150</v>
      </c>
    </row>
    <row r="44" spans="2:11" ht="76.5">
      <c r="B44" s="6" t="s">
        <v>89</v>
      </c>
      <c r="C44" s="5" t="s">
        <v>90</v>
      </c>
      <c r="D44" s="5" t="s">
        <v>29</v>
      </c>
      <c r="E44" s="5" t="s">
        <v>91</v>
      </c>
      <c r="F44" s="5" t="s">
        <v>92</v>
      </c>
      <c r="G44" s="12" t="s">
        <v>151</v>
      </c>
      <c r="H44" s="5" t="s">
        <v>93</v>
      </c>
      <c r="I44" s="5" t="s">
        <v>14</v>
      </c>
      <c r="J44" s="5" t="s">
        <v>15</v>
      </c>
    </row>
    <row r="45" spans="2:11" ht="15.75" customHeight="1">
      <c r="C45" s="10"/>
      <c r="D45" s="10"/>
      <c r="E45" s="10"/>
      <c r="F45" s="10"/>
      <c r="G45" s="10"/>
      <c r="H45" s="10"/>
      <c r="I45" s="10"/>
      <c r="J45" s="10"/>
    </row>
    <row r="46" spans="2:11" ht="15.75" customHeight="1">
      <c r="B46" s="14"/>
      <c r="C46" s="10"/>
      <c r="D46" s="10"/>
      <c r="E46" s="10"/>
      <c r="F46" s="10"/>
      <c r="G46" s="10"/>
      <c r="H46" s="10"/>
      <c r="I46" s="10"/>
      <c r="J46" s="10"/>
    </row>
    <row r="47" spans="2:11" ht="15.75" customHeight="1">
      <c r="B47" s="27" t="s">
        <v>0</v>
      </c>
      <c r="C47" s="34" t="s">
        <v>152</v>
      </c>
      <c r="D47" s="35"/>
      <c r="E47" s="35"/>
      <c r="F47" s="35"/>
      <c r="G47" s="36"/>
      <c r="H47" s="27" t="s">
        <v>148</v>
      </c>
      <c r="I47" s="27" t="s">
        <v>149</v>
      </c>
      <c r="J47" s="27" t="s">
        <v>153</v>
      </c>
    </row>
    <row r="48" spans="2:11" ht="15.75" customHeight="1">
      <c r="B48" s="27" t="s">
        <v>253</v>
      </c>
      <c r="C48" s="31" t="s">
        <v>254</v>
      </c>
      <c r="D48" s="32"/>
      <c r="E48" s="32"/>
      <c r="F48" s="32"/>
      <c r="G48" s="33"/>
      <c r="H48" s="13" t="s">
        <v>156</v>
      </c>
      <c r="I48" s="13" t="s">
        <v>14</v>
      </c>
      <c r="J48" s="13">
        <v>2</v>
      </c>
    </row>
    <row r="49" spans="2:12" ht="15.75" customHeight="1">
      <c r="B49" s="27" t="s">
        <v>255</v>
      </c>
      <c r="C49" s="31" t="s">
        <v>256</v>
      </c>
      <c r="D49" s="32"/>
      <c r="E49" s="32"/>
      <c r="F49" s="32"/>
      <c r="G49" s="33"/>
      <c r="H49" s="13" t="s">
        <v>156</v>
      </c>
      <c r="I49" s="13" t="s">
        <v>14</v>
      </c>
      <c r="J49" s="13">
        <v>2</v>
      </c>
    </row>
    <row r="50" spans="2:12" ht="15.75" customHeight="1">
      <c r="B50" s="27" t="s">
        <v>257</v>
      </c>
      <c r="C50" s="31" t="s">
        <v>258</v>
      </c>
      <c r="D50" s="32"/>
      <c r="E50" s="32"/>
      <c r="F50" s="32"/>
      <c r="G50" s="33"/>
      <c r="H50" s="13" t="s">
        <v>156</v>
      </c>
      <c r="I50" s="13" t="s">
        <v>14</v>
      </c>
      <c r="J50" s="13">
        <v>2</v>
      </c>
    </row>
    <row r="51" spans="2:12" ht="15.75" customHeight="1">
      <c r="B51" s="27" t="s">
        <v>259</v>
      </c>
      <c r="C51" s="31" t="s">
        <v>260</v>
      </c>
      <c r="D51" s="32"/>
      <c r="E51" s="32"/>
      <c r="F51" s="32"/>
      <c r="G51" s="33"/>
      <c r="H51" s="13" t="s">
        <v>156</v>
      </c>
      <c r="I51" s="13" t="s">
        <v>14</v>
      </c>
      <c r="J51" s="13">
        <v>3</v>
      </c>
    </row>
    <row r="52" spans="2:12" ht="15.75" customHeight="1">
      <c r="B52" s="27" t="s">
        <v>261</v>
      </c>
      <c r="C52" s="31" t="s">
        <v>262</v>
      </c>
      <c r="D52" s="32"/>
      <c r="E52" s="32"/>
      <c r="F52" s="32"/>
      <c r="G52" s="33"/>
      <c r="H52" s="13" t="s">
        <v>163</v>
      </c>
      <c r="I52" s="13" t="s">
        <v>14</v>
      </c>
      <c r="J52" s="13">
        <v>2</v>
      </c>
    </row>
    <row r="53" spans="2:12" ht="15.75" customHeight="1">
      <c r="B53" s="27" t="s">
        <v>263</v>
      </c>
      <c r="C53" s="31" t="s">
        <v>264</v>
      </c>
      <c r="D53" s="32"/>
      <c r="E53" s="32"/>
      <c r="F53" s="32"/>
      <c r="G53" s="33"/>
      <c r="H53" s="13" t="s">
        <v>163</v>
      </c>
      <c r="I53" s="13" t="s">
        <v>14</v>
      </c>
      <c r="J53" s="13">
        <v>3</v>
      </c>
    </row>
    <row r="54" spans="2:12" ht="15.75" customHeight="1">
      <c r="B54" s="27" t="s">
        <v>265</v>
      </c>
      <c r="C54" s="31" t="s">
        <v>266</v>
      </c>
      <c r="D54" s="32"/>
      <c r="E54" s="32"/>
      <c r="F54" s="32"/>
      <c r="G54" s="33"/>
      <c r="H54" s="13" t="s">
        <v>151</v>
      </c>
      <c r="I54" s="13" t="s">
        <v>14</v>
      </c>
      <c r="J54" s="13">
        <v>2</v>
      </c>
      <c r="K54" s="15">
        <f>SUM(J48:J54)</f>
        <v>16</v>
      </c>
    </row>
    <row r="55" spans="2:12" ht="15.75" customHeight="1"/>
    <row r="56" spans="2:12" ht="15.75" customHeight="1"/>
    <row r="57" spans="2:12" ht="15.75" customHeight="1"/>
    <row r="58" spans="2:12" ht="15.75" customHeight="1">
      <c r="K58" t="s">
        <v>214</v>
      </c>
      <c r="L58" s="18">
        <f>SUM(K54,K39,K13,K25)</f>
        <v>58</v>
      </c>
    </row>
    <row r="59" spans="2:12" ht="15.75" customHeight="1"/>
    <row r="60" spans="2:12" ht="15.75" customHeight="1"/>
    <row r="61" spans="2:12" ht="15.75" customHeight="1"/>
    <row r="62" spans="2:12" ht="15.75" customHeight="1"/>
    <row r="63" spans="2:12" ht="15.75" customHeight="1"/>
    <row r="64" spans="2: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mergeCells count="30">
    <mergeCell ref="C12:G12"/>
    <mergeCell ref="C7:G7"/>
    <mergeCell ref="C8:G8"/>
    <mergeCell ref="C9:G9"/>
    <mergeCell ref="C10:G10"/>
    <mergeCell ref="C11:G11"/>
    <mergeCell ref="C13:G13"/>
    <mergeCell ref="C20:G20"/>
    <mergeCell ref="C21:G21"/>
    <mergeCell ref="C22:G22"/>
    <mergeCell ref="C23:G23"/>
    <mergeCell ref="C54:G54"/>
    <mergeCell ref="C37:G37"/>
    <mergeCell ref="C38:G38"/>
    <mergeCell ref="C53:G53"/>
    <mergeCell ref="C24:G24"/>
    <mergeCell ref="C25:G25"/>
    <mergeCell ref="C33:G33"/>
    <mergeCell ref="C34:G34"/>
    <mergeCell ref="C35:G35"/>
    <mergeCell ref="C26:G26"/>
    <mergeCell ref="C36:G36"/>
    <mergeCell ref="C50:G50"/>
    <mergeCell ref="C49:G49"/>
    <mergeCell ref="C51:G51"/>
    <mergeCell ref="C52:G52"/>
    <mergeCell ref="C48:G48"/>
    <mergeCell ref="C47:G47"/>
    <mergeCell ref="C39:G39"/>
    <mergeCell ref="C40:G4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44A0-D68E-4C60-9014-2FDD970311A6}">
  <sheetPr>
    <outlinePr summaryBelow="0" summaryRight="0"/>
  </sheetPr>
  <dimension ref="A1:AA961"/>
  <sheetViews>
    <sheetView tabSelected="1" topLeftCell="A24" workbookViewId="0">
      <selection activeCell="M58" sqref="M58"/>
    </sheetView>
  </sheetViews>
  <sheetFormatPr defaultColWidth="12.5703125" defaultRowHeight="15" customHeight="1"/>
  <cols>
    <col min="1" max="2" width="12.42578125" customWidth="1"/>
    <col min="3" max="4" width="18.85546875" customWidth="1"/>
    <col min="5" max="5" width="20.42578125" customWidth="1"/>
    <col min="6" max="6" width="56.140625" customWidth="1"/>
    <col min="7" max="7" width="12.42578125" customWidth="1"/>
    <col min="8" max="8" width="30.140625" bestFit="1" customWidth="1"/>
    <col min="9" max="27" width="12.42578125" customWidth="1"/>
  </cols>
  <sheetData>
    <row r="1" spans="1:27" ht="15.75" customHeight="1"/>
    <row r="2" spans="1:27" ht="15.75" customHeight="1"/>
    <row r="3" spans="1:27" ht="15.75" customHeight="1">
      <c r="B3" s="6" t="s">
        <v>0</v>
      </c>
      <c r="C3" s="6" t="s">
        <v>1</v>
      </c>
      <c r="D3" s="6" t="s">
        <v>2</v>
      </c>
      <c r="E3" s="6" t="s">
        <v>146</v>
      </c>
      <c r="F3" s="6" t="s">
        <v>147</v>
      </c>
      <c r="G3" s="6" t="s">
        <v>148</v>
      </c>
      <c r="H3" s="6" t="s">
        <v>5</v>
      </c>
      <c r="I3" s="6" t="s">
        <v>149</v>
      </c>
      <c r="J3" s="6" t="s">
        <v>150</v>
      </c>
    </row>
    <row r="4" spans="1:27" ht="51">
      <c r="A4" s="2"/>
      <c r="B4" s="6" t="s">
        <v>38</v>
      </c>
      <c r="C4" s="5" t="s">
        <v>39</v>
      </c>
      <c r="D4" s="5" t="s">
        <v>29</v>
      </c>
      <c r="E4" s="7" t="s">
        <v>40</v>
      </c>
      <c r="F4" s="5" t="s">
        <v>41</v>
      </c>
      <c r="G4" s="12" t="s">
        <v>163</v>
      </c>
      <c r="H4" s="5" t="s">
        <v>42</v>
      </c>
      <c r="I4" s="5" t="s">
        <v>14</v>
      </c>
      <c r="J4" s="5" t="s">
        <v>15</v>
      </c>
      <c r="L4" s="9"/>
      <c r="M4" s="2"/>
      <c r="N4" s="2"/>
      <c r="O4" s="2"/>
      <c r="P4" s="2"/>
      <c r="Q4" s="2"/>
      <c r="R4" s="2"/>
      <c r="S4" s="2"/>
      <c r="T4" s="2"/>
      <c r="U4" s="2"/>
      <c r="V4" s="2"/>
      <c r="W4" s="2"/>
      <c r="X4" s="2"/>
      <c r="Y4" s="2"/>
      <c r="Z4" s="2"/>
      <c r="AA4" s="2"/>
    </row>
    <row r="5" spans="1:27" ht="12.75">
      <c r="A5" s="9"/>
      <c r="C5" s="10"/>
      <c r="D5" s="10"/>
      <c r="E5" s="10"/>
      <c r="F5" s="10"/>
      <c r="G5" s="10"/>
      <c r="H5" s="10"/>
      <c r="I5" s="10"/>
      <c r="J5" s="10"/>
      <c r="K5" s="10"/>
      <c r="L5" s="9"/>
      <c r="M5" s="2"/>
      <c r="N5" s="2"/>
      <c r="O5" s="2"/>
      <c r="P5" s="2"/>
      <c r="Q5" s="2"/>
      <c r="R5" s="2"/>
      <c r="S5" s="2"/>
      <c r="T5" s="2"/>
      <c r="U5" s="2"/>
      <c r="V5" s="2"/>
      <c r="W5" s="2"/>
      <c r="X5" s="2"/>
      <c r="Y5" s="2"/>
      <c r="Z5" s="2"/>
      <c r="AA5" s="2"/>
    </row>
    <row r="6" spans="1:27" ht="12.75">
      <c r="A6" s="9"/>
      <c r="B6" s="14"/>
      <c r="C6" s="10"/>
      <c r="D6" s="10"/>
      <c r="E6" s="10"/>
      <c r="F6" s="10"/>
      <c r="G6" s="10"/>
      <c r="H6" s="10"/>
      <c r="I6" s="10"/>
      <c r="J6" s="10"/>
      <c r="K6" s="10"/>
      <c r="L6" s="9"/>
      <c r="M6" s="2"/>
      <c r="N6" s="2"/>
      <c r="O6" s="2"/>
      <c r="P6" s="2"/>
      <c r="Q6" s="2"/>
      <c r="R6" s="2"/>
      <c r="S6" s="2"/>
      <c r="T6" s="2"/>
      <c r="U6" s="2"/>
      <c r="V6" s="2"/>
      <c r="W6" s="2"/>
      <c r="X6" s="2"/>
      <c r="Y6" s="2"/>
      <c r="Z6" s="2"/>
      <c r="AA6" s="2"/>
    </row>
    <row r="7" spans="1:27" ht="15.75">
      <c r="A7" s="9"/>
      <c r="B7" s="27" t="s">
        <v>0</v>
      </c>
      <c r="C7" s="30" t="s">
        <v>152</v>
      </c>
      <c r="D7" s="30"/>
      <c r="E7" s="30"/>
      <c r="F7" s="30"/>
      <c r="G7" s="30"/>
      <c r="H7" s="27" t="s">
        <v>148</v>
      </c>
      <c r="I7" s="27" t="s">
        <v>149</v>
      </c>
      <c r="J7" s="27" t="s">
        <v>153</v>
      </c>
      <c r="K7" s="14"/>
      <c r="O7" s="2"/>
      <c r="P7" s="2"/>
      <c r="Q7" s="2"/>
      <c r="R7" s="2"/>
      <c r="S7" s="2"/>
      <c r="T7" s="2"/>
      <c r="U7" s="2"/>
      <c r="V7" s="2"/>
      <c r="W7" s="2"/>
      <c r="X7" s="2"/>
      <c r="Y7" s="2"/>
      <c r="Z7" s="2"/>
      <c r="AA7" s="2"/>
    </row>
    <row r="8" spans="1:27">
      <c r="A8" s="9"/>
      <c r="B8" s="27" t="s">
        <v>267</v>
      </c>
      <c r="C8" s="31" t="s">
        <v>268</v>
      </c>
      <c r="D8" s="32"/>
      <c r="E8" s="32"/>
      <c r="F8" s="32"/>
      <c r="G8" s="33"/>
      <c r="H8" s="13" t="s">
        <v>156</v>
      </c>
      <c r="I8" s="13" t="s">
        <v>14</v>
      </c>
      <c r="J8" s="13">
        <v>3</v>
      </c>
      <c r="K8" s="25"/>
      <c r="O8" s="2"/>
      <c r="P8" s="2"/>
      <c r="Q8" s="2"/>
      <c r="R8" s="2"/>
      <c r="S8" s="2"/>
      <c r="T8" s="2"/>
      <c r="U8" s="2"/>
      <c r="V8" s="2"/>
      <c r="W8" s="2"/>
      <c r="X8" s="2"/>
      <c r="Y8" s="2"/>
      <c r="Z8" s="2"/>
      <c r="AA8" s="2"/>
    </row>
    <row r="9" spans="1:27">
      <c r="A9" s="9"/>
      <c r="B9" s="27" t="s">
        <v>269</v>
      </c>
      <c r="C9" s="31" t="s">
        <v>270</v>
      </c>
      <c r="D9" s="32"/>
      <c r="E9" s="32"/>
      <c r="F9" s="32"/>
      <c r="G9" s="33"/>
      <c r="H9" s="13" t="s">
        <v>156</v>
      </c>
      <c r="I9" s="13" t="s">
        <v>14</v>
      </c>
      <c r="J9" s="13">
        <v>2</v>
      </c>
      <c r="K9" s="25"/>
      <c r="O9" s="2"/>
      <c r="P9" s="2"/>
      <c r="Q9" s="2"/>
      <c r="R9" s="2"/>
      <c r="S9" s="2"/>
      <c r="T9" s="2"/>
      <c r="U9" s="2"/>
      <c r="V9" s="2"/>
      <c r="W9" s="2"/>
      <c r="X9" s="2"/>
      <c r="Y9" s="2"/>
      <c r="Z9" s="2"/>
      <c r="AA9" s="2"/>
    </row>
    <row r="10" spans="1:27" ht="15.75" customHeight="1">
      <c r="A10" s="14"/>
      <c r="B10" s="27" t="s">
        <v>271</v>
      </c>
      <c r="C10" s="31" t="s">
        <v>272</v>
      </c>
      <c r="D10" s="32"/>
      <c r="E10" s="32"/>
      <c r="F10" s="32"/>
      <c r="G10" s="33"/>
      <c r="H10" s="13" t="s">
        <v>156</v>
      </c>
      <c r="I10" s="13" t="s">
        <v>14</v>
      </c>
      <c r="J10" s="13">
        <v>1</v>
      </c>
      <c r="K10" s="25"/>
    </row>
    <row r="11" spans="1:27" ht="15.75" customHeight="1">
      <c r="A11" s="14"/>
      <c r="B11" s="27" t="s">
        <v>273</v>
      </c>
      <c r="C11" s="31" t="s">
        <v>274</v>
      </c>
      <c r="D11" s="32"/>
      <c r="E11" s="32"/>
      <c r="F11" s="32"/>
      <c r="G11" s="33"/>
      <c r="H11" s="13" t="s">
        <v>163</v>
      </c>
      <c r="I11" s="13" t="s">
        <v>14</v>
      </c>
      <c r="J11" s="13">
        <v>2</v>
      </c>
      <c r="K11" s="25"/>
    </row>
    <row r="12" spans="1:27">
      <c r="B12" s="27" t="s">
        <v>275</v>
      </c>
      <c r="C12" s="31" t="s">
        <v>276</v>
      </c>
      <c r="D12" s="32"/>
      <c r="E12" s="32"/>
      <c r="F12" s="32"/>
      <c r="G12" s="33"/>
      <c r="H12" s="17" t="s">
        <v>163</v>
      </c>
      <c r="I12" s="17" t="s">
        <v>14</v>
      </c>
      <c r="J12" s="17">
        <v>2</v>
      </c>
      <c r="K12" s="23"/>
    </row>
    <row r="13" spans="1:27">
      <c r="A13" s="14"/>
      <c r="B13" s="27" t="s">
        <v>277</v>
      </c>
      <c r="C13" s="31" t="s">
        <v>278</v>
      </c>
      <c r="D13" s="32"/>
      <c r="E13" s="32"/>
      <c r="F13" s="32"/>
      <c r="G13" s="33"/>
      <c r="H13" s="13" t="s">
        <v>151</v>
      </c>
      <c r="I13" s="13" t="s">
        <v>14</v>
      </c>
      <c r="J13" s="13">
        <v>2</v>
      </c>
      <c r="K13" s="23"/>
    </row>
    <row r="14" spans="1:27">
      <c r="A14" s="14"/>
      <c r="B14" s="27" t="s">
        <v>279</v>
      </c>
      <c r="C14" s="31" t="s">
        <v>280</v>
      </c>
      <c r="D14" s="32"/>
      <c r="E14" s="32"/>
      <c r="F14" s="32"/>
      <c r="G14" s="33"/>
      <c r="H14" s="13" t="s">
        <v>156</v>
      </c>
      <c r="I14" s="13" t="s">
        <v>14</v>
      </c>
      <c r="J14" s="13">
        <v>1</v>
      </c>
      <c r="K14" s="24"/>
    </row>
    <row r="15" spans="1:27">
      <c r="A15" s="14"/>
      <c r="B15" s="27" t="s">
        <v>281</v>
      </c>
      <c r="C15" s="31" t="s">
        <v>282</v>
      </c>
      <c r="D15" s="32"/>
      <c r="E15" s="32"/>
      <c r="F15" s="32"/>
      <c r="G15" s="33"/>
      <c r="H15" s="13" t="s">
        <v>156</v>
      </c>
      <c r="I15" s="13" t="s">
        <v>14</v>
      </c>
      <c r="J15" s="13">
        <v>2</v>
      </c>
      <c r="K15" s="24"/>
    </row>
    <row r="16" spans="1:27">
      <c r="A16" s="14"/>
      <c r="B16" s="27" t="s">
        <v>283</v>
      </c>
      <c r="C16" s="31" t="s">
        <v>284</v>
      </c>
      <c r="D16" s="32"/>
      <c r="E16" s="32"/>
      <c r="F16" s="32"/>
      <c r="G16" s="33"/>
      <c r="H16" s="13" t="s">
        <v>163</v>
      </c>
      <c r="I16" s="13" t="s">
        <v>14</v>
      </c>
      <c r="J16" s="13">
        <v>3</v>
      </c>
      <c r="K16" s="24"/>
    </row>
    <row r="17" spans="1:11">
      <c r="A17" s="14"/>
      <c r="B17" s="27" t="s">
        <v>285</v>
      </c>
      <c r="C17" s="31" t="s">
        <v>286</v>
      </c>
      <c r="D17" s="32"/>
      <c r="E17" s="32"/>
      <c r="F17" s="32"/>
      <c r="G17" s="33"/>
      <c r="H17" s="17" t="s">
        <v>163</v>
      </c>
      <c r="I17" s="13" t="s">
        <v>14</v>
      </c>
      <c r="J17" s="13">
        <v>4</v>
      </c>
      <c r="K17" s="24"/>
    </row>
    <row r="18" spans="1:11">
      <c r="A18" s="14"/>
      <c r="B18" s="27" t="s">
        <v>287</v>
      </c>
      <c r="C18" s="31" t="s">
        <v>288</v>
      </c>
      <c r="D18" s="32"/>
      <c r="E18" s="32"/>
      <c r="F18" s="32"/>
      <c r="G18" s="33"/>
      <c r="H18" s="13" t="s">
        <v>151</v>
      </c>
      <c r="I18" s="13" t="s">
        <v>14</v>
      </c>
      <c r="J18" s="13">
        <v>5</v>
      </c>
      <c r="K18" s="15">
        <f>SUM(J8:J18)</f>
        <v>27</v>
      </c>
    </row>
    <row r="19" spans="1:11" ht="12.75">
      <c r="B19" s="14"/>
      <c r="C19" s="14"/>
      <c r="D19" s="14"/>
      <c r="E19" s="14"/>
      <c r="F19" s="14"/>
      <c r="G19" s="14"/>
      <c r="H19" s="14"/>
      <c r="I19" s="14"/>
      <c r="J19" s="14"/>
      <c r="K19" s="23"/>
    </row>
    <row r="20" spans="1:11" ht="12.75">
      <c r="K20" s="23"/>
    </row>
    <row r="21" spans="1:11">
      <c r="B21" s="6" t="s">
        <v>0</v>
      </c>
      <c r="C21" s="6" t="s">
        <v>1</v>
      </c>
      <c r="D21" s="6" t="s">
        <v>2</v>
      </c>
      <c r="E21" s="6" t="s">
        <v>146</v>
      </c>
      <c r="F21" s="6" t="s">
        <v>147</v>
      </c>
      <c r="G21" s="6" t="s">
        <v>148</v>
      </c>
      <c r="H21" s="6" t="s">
        <v>5</v>
      </c>
      <c r="I21" s="6" t="s">
        <v>149</v>
      </c>
      <c r="J21" s="6" t="s">
        <v>150</v>
      </c>
      <c r="K21" s="23"/>
    </row>
    <row r="22" spans="1:11" ht="63.75">
      <c r="B22" s="6" t="s">
        <v>43</v>
      </c>
      <c r="C22" s="5" t="s">
        <v>44</v>
      </c>
      <c r="D22" s="5" t="s">
        <v>23</v>
      </c>
      <c r="E22" s="7" t="s">
        <v>45</v>
      </c>
      <c r="F22" s="5" t="s">
        <v>46</v>
      </c>
      <c r="G22" s="12" t="s">
        <v>163</v>
      </c>
      <c r="H22" s="5" t="s">
        <v>47</v>
      </c>
      <c r="I22" s="5" t="s">
        <v>14</v>
      </c>
      <c r="J22" s="5" t="s">
        <v>15</v>
      </c>
      <c r="K22" s="23"/>
    </row>
    <row r="23" spans="1:11" ht="15.75" customHeight="1">
      <c r="C23" s="10"/>
      <c r="D23" s="10"/>
      <c r="E23" s="10"/>
      <c r="F23" s="10"/>
      <c r="G23" s="10"/>
      <c r="H23" s="10"/>
      <c r="I23" s="10"/>
      <c r="J23" s="10"/>
      <c r="K23" s="23"/>
    </row>
    <row r="24" spans="1:11" ht="15.75" customHeight="1">
      <c r="B24" s="14"/>
      <c r="C24" s="10"/>
      <c r="D24" s="10"/>
      <c r="E24" s="10"/>
      <c r="F24" s="10"/>
      <c r="G24" s="10"/>
      <c r="H24" s="10"/>
      <c r="I24" s="10"/>
      <c r="J24" s="10"/>
      <c r="K24" s="23"/>
    </row>
    <row r="25" spans="1:11" ht="15.75">
      <c r="B25" s="27" t="s">
        <v>0</v>
      </c>
      <c r="C25" s="30" t="s">
        <v>152</v>
      </c>
      <c r="D25" s="30"/>
      <c r="E25" s="30"/>
      <c r="F25" s="30"/>
      <c r="G25" s="30"/>
      <c r="H25" s="27" t="s">
        <v>148</v>
      </c>
      <c r="I25" s="27" t="s">
        <v>149</v>
      </c>
      <c r="J25" s="27" t="s">
        <v>153</v>
      </c>
      <c r="K25" s="23"/>
    </row>
    <row r="26" spans="1:11">
      <c r="B26" s="27" t="s">
        <v>289</v>
      </c>
      <c r="C26" s="29" t="s">
        <v>290</v>
      </c>
      <c r="D26" s="29"/>
      <c r="E26" s="29"/>
      <c r="F26" s="29"/>
      <c r="G26" s="29"/>
      <c r="H26" s="13" t="s">
        <v>156</v>
      </c>
      <c r="I26" s="13" t="s">
        <v>14</v>
      </c>
      <c r="J26" s="13">
        <v>2</v>
      </c>
      <c r="K26" s="23"/>
    </row>
    <row r="27" spans="1:11">
      <c r="B27" s="27" t="s">
        <v>291</v>
      </c>
      <c r="C27" s="29" t="s">
        <v>292</v>
      </c>
      <c r="D27" s="29"/>
      <c r="E27" s="29"/>
      <c r="F27" s="29"/>
      <c r="G27" s="29"/>
      <c r="H27" s="13" t="s">
        <v>156</v>
      </c>
      <c r="I27" s="13" t="s">
        <v>14</v>
      </c>
      <c r="J27" s="13">
        <v>2</v>
      </c>
      <c r="K27" s="23"/>
    </row>
    <row r="28" spans="1:11">
      <c r="B28" s="27" t="s">
        <v>293</v>
      </c>
      <c r="C28" s="29" t="s">
        <v>294</v>
      </c>
      <c r="D28" s="29"/>
      <c r="E28" s="29"/>
      <c r="F28" s="29"/>
      <c r="G28" s="29"/>
      <c r="H28" s="13" t="s">
        <v>163</v>
      </c>
      <c r="I28" s="13" t="s">
        <v>14</v>
      </c>
      <c r="J28" s="13">
        <v>2</v>
      </c>
      <c r="K28" s="23"/>
    </row>
    <row r="29" spans="1:11" ht="15.75" customHeight="1">
      <c r="B29" s="27" t="s">
        <v>295</v>
      </c>
      <c r="C29" s="29" t="s">
        <v>296</v>
      </c>
      <c r="D29" s="29"/>
      <c r="E29" s="29"/>
      <c r="F29" s="29"/>
      <c r="G29" s="29"/>
      <c r="H29" s="17" t="s">
        <v>163</v>
      </c>
      <c r="I29" s="13" t="s">
        <v>14</v>
      </c>
      <c r="J29" s="13">
        <v>1</v>
      </c>
      <c r="K29" s="23"/>
    </row>
    <row r="30" spans="1:11" ht="15.75" customHeight="1">
      <c r="B30" s="27" t="s">
        <v>297</v>
      </c>
      <c r="C30" s="29" t="s">
        <v>298</v>
      </c>
      <c r="D30" s="29"/>
      <c r="E30" s="29"/>
      <c r="F30" s="29"/>
      <c r="G30" s="29"/>
      <c r="H30" s="13" t="s">
        <v>151</v>
      </c>
      <c r="I30" s="13" t="s">
        <v>14</v>
      </c>
      <c r="J30" s="13">
        <v>1</v>
      </c>
      <c r="K30" s="24"/>
    </row>
    <row r="31" spans="1:11" ht="15.75" customHeight="1">
      <c r="B31" s="27" t="s">
        <v>299</v>
      </c>
      <c r="C31" s="29" t="s">
        <v>300</v>
      </c>
      <c r="D31" s="29"/>
      <c r="E31" s="29"/>
      <c r="F31" s="29"/>
      <c r="G31" s="29"/>
      <c r="H31" s="13" t="s">
        <v>156</v>
      </c>
      <c r="I31" s="13" t="s">
        <v>14</v>
      </c>
      <c r="J31" s="13">
        <v>2</v>
      </c>
      <c r="K31" s="24"/>
    </row>
    <row r="32" spans="1:11" ht="15.75" customHeight="1">
      <c r="B32" s="27" t="s">
        <v>301</v>
      </c>
      <c r="C32" s="29" t="s">
        <v>302</v>
      </c>
      <c r="D32" s="29"/>
      <c r="E32" s="29"/>
      <c r="F32" s="29"/>
      <c r="G32" s="29"/>
      <c r="H32" s="13" t="s">
        <v>156</v>
      </c>
      <c r="I32" s="13" t="s">
        <v>14</v>
      </c>
      <c r="J32" s="13">
        <v>3</v>
      </c>
      <c r="K32" s="24"/>
    </row>
    <row r="33" spans="2:11" ht="15.75" customHeight="1">
      <c r="B33" s="27" t="s">
        <v>303</v>
      </c>
      <c r="C33" s="29" t="s">
        <v>304</v>
      </c>
      <c r="D33" s="29"/>
      <c r="E33" s="29"/>
      <c r="F33" s="29"/>
      <c r="G33" s="29"/>
      <c r="H33" s="13" t="s">
        <v>163</v>
      </c>
      <c r="I33" s="13" t="s">
        <v>14</v>
      </c>
      <c r="J33" s="13">
        <v>4</v>
      </c>
      <c r="K33" s="24"/>
    </row>
    <row r="34" spans="2:11" ht="15.75" customHeight="1">
      <c r="B34" s="27" t="s">
        <v>305</v>
      </c>
      <c r="C34" s="29" t="s">
        <v>306</v>
      </c>
      <c r="D34" s="29"/>
      <c r="E34" s="29"/>
      <c r="F34" s="29"/>
      <c r="G34" s="29"/>
      <c r="H34" s="17" t="s">
        <v>163</v>
      </c>
      <c r="I34" s="13" t="s">
        <v>14</v>
      </c>
      <c r="J34" s="13">
        <v>5</v>
      </c>
      <c r="K34" s="24"/>
    </row>
    <row r="35" spans="2:11" ht="15.75" customHeight="1">
      <c r="B35" s="27" t="s">
        <v>307</v>
      </c>
      <c r="C35" s="29" t="s">
        <v>266</v>
      </c>
      <c r="D35" s="29"/>
      <c r="E35" s="29"/>
      <c r="F35" s="29"/>
      <c r="G35" s="29"/>
      <c r="H35" s="13" t="s">
        <v>151</v>
      </c>
      <c r="I35" s="13" t="s">
        <v>14</v>
      </c>
      <c r="J35" s="13">
        <v>6</v>
      </c>
      <c r="K35" s="15">
        <f>SUM(J26:J35)</f>
        <v>28</v>
      </c>
    </row>
    <row r="36" spans="2:11" ht="15.75" customHeight="1">
      <c r="K36" s="23"/>
    </row>
    <row r="37" spans="2:11" ht="12.75">
      <c r="K37" s="23"/>
    </row>
    <row r="38" spans="2:11">
      <c r="B38" s="6" t="s">
        <v>0</v>
      </c>
      <c r="C38" s="6" t="s">
        <v>1</v>
      </c>
      <c r="D38" s="6" t="s">
        <v>2</v>
      </c>
      <c r="E38" s="6" t="s">
        <v>146</v>
      </c>
      <c r="F38" s="6" t="s">
        <v>147</v>
      </c>
      <c r="G38" s="6" t="s">
        <v>148</v>
      </c>
      <c r="H38" s="6" t="s">
        <v>5</v>
      </c>
      <c r="I38" s="6" t="s">
        <v>149</v>
      </c>
      <c r="J38" s="6" t="s">
        <v>150</v>
      </c>
    </row>
    <row r="39" spans="2:11" ht="51">
      <c r="B39" s="6" t="s">
        <v>48</v>
      </c>
      <c r="C39" s="5" t="s">
        <v>49</v>
      </c>
      <c r="D39" s="5" t="s">
        <v>23</v>
      </c>
      <c r="E39" s="5" t="s">
        <v>50</v>
      </c>
      <c r="F39" s="5" t="s">
        <v>51</v>
      </c>
      <c r="G39" s="12" t="s">
        <v>163</v>
      </c>
      <c r="H39" s="5" t="s">
        <v>52</v>
      </c>
      <c r="I39" s="5" t="s">
        <v>14</v>
      </c>
      <c r="J39" s="5" t="s">
        <v>15</v>
      </c>
    </row>
    <row r="40" spans="2:11" ht="12.75">
      <c r="C40" s="10"/>
      <c r="D40" s="10"/>
      <c r="E40" s="10"/>
      <c r="F40" s="10"/>
      <c r="G40" s="10"/>
      <c r="H40" s="10"/>
      <c r="I40" s="10"/>
      <c r="J40" s="10"/>
    </row>
    <row r="41" spans="2:11" ht="15.75" customHeight="1">
      <c r="B41" s="14"/>
      <c r="C41" s="10"/>
      <c r="D41" s="10"/>
      <c r="E41" s="10"/>
      <c r="F41" s="10"/>
      <c r="G41" s="10"/>
      <c r="H41" s="10"/>
      <c r="I41" s="10"/>
      <c r="J41" s="10"/>
    </row>
    <row r="42" spans="2:11" ht="15.75" customHeight="1">
      <c r="B42" s="27" t="s">
        <v>0</v>
      </c>
      <c r="C42" s="30" t="s">
        <v>152</v>
      </c>
      <c r="D42" s="30"/>
      <c r="E42" s="30"/>
      <c r="F42" s="30"/>
      <c r="G42" s="30"/>
      <c r="H42" s="27" t="s">
        <v>148</v>
      </c>
      <c r="I42" s="27" t="s">
        <v>149</v>
      </c>
      <c r="J42" s="27" t="s">
        <v>153</v>
      </c>
    </row>
    <row r="43" spans="2:11" ht="15.75" customHeight="1">
      <c r="B43" s="27" t="s">
        <v>308</v>
      </c>
      <c r="C43" s="29" t="s">
        <v>309</v>
      </c>
      <c r="D43" s="29"/>
      <c r="E43" s="29"/>
      <c r="F43" s="29"/>
      <c r="G43" s="29"/>
      <c r="H43" s="13" t="s">
        <v>156</v>
      </c>
      <c r="I43" s="13" t="s">
        <v>14</v>
      </c>
      <c r="J43" s="13">
        <v>2</v>
      </c>
    </row>
    <row r="44" spans="2:11">
      <c r="B44" s="27" t="s">
        <v>310</v>
      </c>
      <c r="C44" s="29" t="s">
        <v>311</v>
      </c>
      <c r="D44" s="29"/>
      <c r="E44" s="29"/>
      <c r="F44" s="29"/>
      <c r="G44" s="29"/>
      <c r="H44" s="13" t="s">
        <v>156</v>
      </c>
      <c r="I44" s="13" t="s">
        <v>14</v>
      </c>
      <c r="J44" s="13">
        <v>1</v>
      </c>
    </row>
    <row r="45" spans="2:11">
      <c r="B45" s="27" t="s">
        <v>312</v>
      </c>
      <c r="C45" s="29" t="s">
        <v>313</v>
      </c>
      <c r="D45" s="29"/>
      <c r="E45" s="29"/>
      <c r="F45" s="29"/>
      <c r="G45" s="29"/>
      <c r="H45" s="13" t="s">
        <v>163</v>
      </c>
      <c r="I45" s="13" t="s">
        <v>14</v>
      </c>
      <c r="J45" s="13">
        <v>2</v>
      </c>
    </row>
    <row r="46" spans="2:11">
      <c r="B46" s="27" t="s">
        <v>314</v>
      </c>
      <c r="C46" s="29" t="s">
        <v>315</v>
      </c>
      <c r="D46" s="29"/>
      <c r="E46" s="29"/>
      <c r="F46" s="29"/>
      <c r="G46" s="29"/>
      <c r="H46" s="17" t="s">
        <v>163</v>
      </c>
      <c r="I46" s="13" t="s">
        <v>14</v>
      </c>
      <c r="J46" s="13">
        <v>2</v>
      </c>
    </row>
    <row r="47" spans="2:11" ht="15.75" customHeight="1">
      <c r="B47" s="27" t="s">
        <v>316</v>
      </c>
      <c r="C47" s="29" t="s">
        <v>317</v>
      </c>
      <c r="D47" s="29"/>
      <c r="E47" s="29"/>
      <c r="F47" s="29"/>
      <c r="G47" s="29"/>
      <c r="H47" s="13" t="s">
        <v>151</v>
      </c>
      <c r="I47" s="13" t="s">
        <v>14</v>
      </c>
      <c r="J47" s="13">
        <v>3</v>
      </c>
    </row>
    <row r="48" spans="2:11">
      <c r="B48" s="27" t="s">
        <v>318</v>
      </c>
      <c r="C48" s="29" t="s">
        <v>319</v>
      </c>
      <c r="D48" s="29"/>
      <c r="E48" s="29"/>
      <c r="F48" s="29"/>
      <c r="G48" s="29"/>
      <c r="H48" s="13" t="s">
        <v>156</v>
      </c>
      <c r="I48" s="13" t="s">
        <v>14</v>
      </c>
      <c r="J48" s="13">
        <v>2</v>
      </c>
      <c r="K48" s="24"/>
    </row>
    <row r="49" spans="2:13" ht="15.75" customHeight="1">
      <c r="B49" s="27" t="s">
        <v>320</v>
      </c>
      <c r="C49" s="29" t="s">
        <v>321</v>
      </c>
      <c r="D49" s="29"/>
      <c r="E49" s="29"/>
      <c r="F49" s="29"/>
      <c r="G49" s="29"/>
      <c r="H49" s="13" t="s">
        <v>156</v>
      </c>
      <c r="I49" s="13" t="s">
        <v>14</v>
      </c>
      <c r="J49" s="13">
        <v>2</v>
      </c>
    </row>
    <row r="50" spans="2:13" ht="15.75" customHeight="1">
      <c r="B50" s="27" t="s">
        <v>322</v>
      </c>
      <c r="C50" s="29" t="s">
        <v>323</v>
      </c>
      <c r="D50" s="29"/>
      <c r="E50" s="29"/>
      <c r="F50" s="29"/>
      <c r="G50" s="29"/>
      <c r="H50" s="13" t="s">
        <v>163</v>
      </c>
      <c r="I50" s="13" t="s">
        <v>14</v>
      </c>
      <c r="J50" s="13">
        <v>4</v>
      </c>
    </row>
    <row r="51" spans="2:13" ht="15.75" customHeight="1">
      <c r="B51" s="27" t="s">
        <v>324</v>
      </c>
      <c r="C51" s="29" t="s">
        <v>325</v>
      </c>
      <c r="D51" s="29"/>
      <c r="E51" s="29"/>
      <c r="F51" s="29"/>
      <c r="G51" s="29"/>
      <c r="H51" s="17" t="s">
        <v>163</v>
      </c>
      <c r="I51" s="13" t="s">
        <v>14</v>
      </c>
      <c r="J51" s="13">
        <v>5</v>
      </c>
    </row>
    <row r="52" spans="2:13" ht="15.75" customHeight="1">
      <c r="B52" s="27" t="s">
        <v>326</v>
      </c>
      <c r="C52" s="29" t="s">
        <v>327</v>
      </c>
      <c r="D52" s="29"/>
      <c r="E52" s="29"/>
      <c r="F52" s="29"/>
      <c r="G52" s="29"/>
      <c r="H52" s="13" t="s">
        <v>151</v>
      </c>
      <c r="I52" s="13" t="s">
        <v>14</v>
      </c>
      <c r="J52" s="13">
        <v>4</v>
      </c>
      <c r="L52" s="24"/>
    </row>
    <row r="53" spans="2:13" ht="15.75" customHeight="1">
      <c r="B53" s="27" t="s">
        <v>328</v>
      </c>
      <c r="C53" s="29" t="s">
        <v>329</v>
      </c>
      <c r="D53" s="29"/>
      <c r="E53" s="29"/>
      <c r="F53" s="29"/>
      <c r="G53" s="29"/>
      <c r="H53" s="13" t="s">
        <v>151</v>
      </c>
      <c r="I53" s="13" t="s">
        <v>14</v>
      </c>
      <c r="J53" s="13">
        <v>4</v>
      </c>
      <c r="K53" s="15">
        <f>SUM(J43:J53)</f>
        <v>31</v>
      </c>
    </row>
    <row r="54" spans="2:13" ht="15.75" customHeight="1"/>
    <row r="55" spans="2:13" ht="15.75" customHeight="1"/>
    <row r="56" spans="2:13" ht="15.75" customHeight="1"/>
    <row r="57" spans="2:13" ht="15.75" customHeight="1">
      <c r="L57" t="s">
        <v>214</v>
      </c>
      <c r="M57" s="18">
        <f>SUM(K53,K35,K18)</f>
        <v>86</v>
      </c>
    </row>
    <row r="58" spans="2:13" ht="15.75" customHeight="1"/>
    <row r="59" spans="2:13" ht="15.75" customHeight="1"/>
    <row r="60" spans="2:13" ht="15.75" customHeight="1"/>
    <row r="61" spans="2:13" ht="15.75" customHeight="1"/>
    <row r="62" spans="2:13" ht="15.75" customHeight="1"/>
    <row r="63" spans="2:13" ht="15.75" customHeight="1"/>
    <row r="64" spans="2: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mergeCells count="35">
    <mergeCell ref="C12:G12"/>
    <mergeCell ref="C7:G7"/>
    <mergeCell ref="C8:G8"/>
    <mergeCell ref="C9:G9"/>
    <mergeCell ref="C10:G10"/>
    <mergeCell ref="C11:G11"/>
    <mergeCell ref="C31:G31"/>
    <mergeCell ref="C32:G32"/>
    <mergeCell ref="C33:G33"/>
    <mergeCell ref="C34:G34"/>
    <mergeCell ref="C13:G13"/>
    <mergeCell ref="C14:G14"/>
    <mergeCell ref="C25:G25"/>
    <mergeCell ref="C26:G26"/>
    <mergeCell ref="C27:G27"/>
    <mergeCell ref="C15:G15"/>
    <mergeCell ref="C16:G16"/>
    <mergeCell ref="C17:G17"/>
    <mergeCell ref="C18:G18"/>
    <mergeCell ref="C28:G28"/>
    <mergeCell ref="C29:G29"/>
    <mergeCell ref="C30:G30"/>
    <mergeCell ref="C53:G53"/>
    <mergeCell ref="C35:G35"/>
    <mergeCell ref="C48:G48"/>
    <mergeCell ref="C49:G49"/>
    <mergeCell ref="C50:G50"/>
    <mergeCell ref="C51:G51"/>
    <mergeCell ref="C52:G52"/>
    <mergeCell ref="C47:G47"/>
    <mergeCell ref="C46:G46"/>
    <mergeCell ref="C42:G42"/>
    <mergeCell ref="C43:G43"/>
    <mergeCell ref="C44:G44"/>
    <mergeCell ref="C45:G4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opLeftCell="D4" workbookViewId="0">
      <selection activeCell="D71" sqref="D71"/>
    </sheetView>
  </sheetViews>
  <sheetFormatPr defaultColWidth="12.5703125" defaultRowHeight="15" customHeight="1"/>
  <cols>
    <col min="1" max="2" width="12.42578125" customWidth="1"/>
    <col min="3" max="4" width="18.85546875" customWidth="1"/>
    <col min="5" max="5" width="20.42578125" customWidth="1"/>
    <col min="6" max="6" width="56.140625" customWidth="1"/>
    <col min="7" max="7" width="12.42578125" customWidth="1"/>
    <col min="8" max="8" width="18.28515625" customWidth="1"/>
    <col min="9" max="27" width="12.42578125" customWidth="1"/>
  </cols>
  <sheetData>
    <row r="1" spans="1:27" ht="15.75" customHeight="1"/>
    <row r="2" spans="1:27" ht="15.75" customHeight="1"/>
    <row r="3" spans="1:27" ht="15.75" customHeight="1">
      <c r="B3" s="6" t="s">
        <v>0</v>
      </c>
      <c r="C3" s="6" t="s">
        <v>1</v>
      </c>
      <c r="D3" s="6" t="s">
        <v>2</v>
      </c>
      <c r="E3" s="6" t="s">
        <v>146</v>
      </c>
      <c r="F3" s="6" t="s">
        <v>147</v>
      </c>
      <c r="G3" s="6" t="s">
        <v>148</v>
      </c>
      <c r="H3" s="6" t="s">
        <v>5</v>
      </c>
      <c r="I3" s="6" t="s">
        <v>149</v>
      </c>
      <c r="J3" s="6" t="s">
        <v>150</v>
      </c>
    </row>
    <row r="4" spans="1:27" ht="102">
      <c r="A4" s="2"/>
      <c r="B4" s="11" t="s">
        <v>8</v>
      </c>
      <c r="C4" s="12" t="s">
        <v>9</v>
      </c>
      <c r="D4" s="12" t="s">
        <v>10</v>
      </c>
      <c r="E4" s="12" t="s">
        <v>11</v>
      </c>
      <c r="F4" s="12" t="s">
        <v>12</v>
      </c>
      <c r="G4" s="12" t="s">
        <v>156</v>
      </c>
      <c r="H4" s="12" t="s">
        <v>13</v>
      </c>
      <c r="I4" s="12" t="s">
        <v>14</v>
      </c>
      <c r="J4" s="12" t="s">
        <v>15</v>
      </c>
      <c r="L4" s="9"/>
      <c r="M4" s="2"/>
      <c r="N4" s="2"/>
      <c r="O4" s="2"/>
      <c r="P4" s="2"/>
      <c r="Q4" s="2"/>
      <c r="R4" s="2"/>
      <c r="S4" s="2"/>
      <c r="T4" s="2"/>
      <c r="U4" s="2"/>
      <c r="V4" s="2"/>
      <c r="W4" s="2"/>
      <c r="X4" s="2"/>
      <c r="Y4" s="2"/>
      <c r="Z4" s="2"/>
      <c r="AA4" s="2"/>
    </row>
    <row r="5" spans="1:27" ht="12.75">
      <c r="A5" s="9"/>
      <c r="C5" s="10"/>
      <c r="D5" s="10"/>
      <c r="E5" s="10"/>
      <c r="F5" s="10"/>
      <c r="G5" s="10"/>
      <c r="H5" s="10"/>
      <c r="I5" s="10"/>
      <c r="J5" s="10"/>
      <c r="K5" s="10"/>
      <c r="L5" s="9"/>
      <c r="M5" s="2"/>
      <c r="N5" s="2"/>
      <c r="O5" s="2"/>
      <c r="P5" s="2"/>
      <c r="Q5" s="2"/>
      <c r="R5" s="2"/>
      <c r="S5" s="2"/>
      <c r="T5" s="2"/>
      <c r="U5" s="2"/>
      <c r="V5" s="2"/>
      <c r="W5" s="2"/>
      <c r="X5" s="2"/>
      <c r="Y5" s="2"/>
      <c r="Z5" s="2"/>
      <c r="AA5" s="2"/>
    </row>
    <row r="6" spans="1:27" ht="12.75">
      <c r="A6" s="9"/>
      <c r="B6" s="14"/>
      <c r="C6" s="10"/>
      <c r="D6" s="10"/>
      <c r="E6" s="10"/>
      <c r="F6" s="10"/>
      <c r="G6" s="10"/>
      <c r="H6" s="10"/>
      <c r="I6" s="10"/>
      <c r="J6" s="10"/>
      <c r="K6" s="10"/>
      <c r="L6" s="9"/>
      <c r="M6" s="2"/>
      <c r="N6" s="2"/>
      <c r="O6" s="2"/>
      <c r="P6" s="2"/>
      <c r="Q6" s="2"/>
      <c r="R6" s="2"/>
      <c r="S6" s="2"/>
      <c r="T6" s="2"/>
      <c r="U6" s="2"/>
      <c r="V6" s="2"/>
      <c r="W6" s="2"/>
      <c r="X6" s="2"/>
      <c r="Y6" s="2"/>
      <c r="Z6" s="2"/>
      <c r="AA6" s="2"/>
    </row>
    <row r="7" spans="1:27" ht="15.75">
      <c r="A7" s="9"/>
      <c r="B7" s="27" t="s">
        <v>0</v>
      </c>
      <c r="C7" s="30" t="s">
        <v>152</v>
      </c>
      <c r="D7" s="30"/>
      <c r="E7" s="30"/>
      <c r="F7" s="30"/>
      <c r="G7" s="30"/>
      <c r="H7" s="27" t="s">
        <v>148</v>
      </c>
      <c r="I7" s="27" t="s">
        <v>149</v>
      </c>
      <c r="J7" s="27" t="s">
        <v>153</v>
      </c>
      <c r="K7" s="14"/>
      <c r="O7" s="2"/>
      <c r="P7" s="2"/>
      <c r="Q7" s="2"/>
      <c r="R7" s="2"/>
      <c r="S7" s="2"/>
      <c r="T7" s="2"/>
      <c r="U7" s="2"/>
      <c r="V7" s="2"/>
      <c r="W7" s="2"/>
      <c r="X7" s="2"/>
      <c r="Y7" s="2"/>
      <c r="Z7" s="2"/>
      <c r="AA7" s="2"/>
    </row>
    <row r="8" spans="1:27">
      <c r="A8" s="9"/>
      <c r="B8" s="27" t="s">
        <v>330</v>
      </c>
      <c r="C8" s="29" t="s">
        <v>331</v>
      </c>
      <c r="D8" s="29"/>
      <c r="E8" s="29"/>
      <c r="F8" s="29"/>
      <c r="G8" s="29"/>
      <c r="H8" s="13" t="s">
        <v>156</v>
      </c>
      <c r="I8" s="13" t="s">
        <v>14</v>
      </c>
      <c r="J8" s="13">
        <v>3</v>
      </c>
      <c r="K8" s="14"/>
      <c r="O8" s="2"/>
      <c r="P8" s="2"/>
      <c r="Q8" s="2"/>
      <c r="R8" s="2"/>
      <c r="S8" s="2"/>
      <c r="T8" s="2"/>
      <c r="U8" s="2"/>
      <c r="V8" s="2"/>
      <c r="W8" s="2"/>
      <c r="X8" s="2"/>
      <c r="Y8" s="2"/>
      <c r="Z8" s="2"/>
      <c r="AA8" s="2"/>
    </row>
    <row r="9" spans="1:27">
      <c r="A9" s="9"/>
      <c r="B9" s="27" t="s">
        <v>332</v>
      </c>
      <c r="C9" s="29" t="s">
        <v>333</v>
      </c>
      <c r="D9" s="29"/>
      <c r="E9" s="29"/>
      <c r="F9" s="29"/>
      <c r="G9" s="29"/>
      <c r="H9" s="13" t="s">
        <v>156</v>
      </c>
      <c r="I9" s="13" t="s">
        <v>14</v>
      </c>
      <c r="J9" s="13">
        <v>2</v>
      </c>
      <c r="K9" s="14"/>
      <c r="O9" s="2"/>
      <c r="P9" s="2"/>
      <c r="Q9" s="2"/>
      <c r="R9" s="2"/>
      <c r="S9" s="2"/>
      <c r="T9" s="2"/>
      <c r="U9" s="2"/>
      <c r="V9" s="2"/>
      <c r="W9" s="2"/>
      <c r="X9" s="2"/>
      <c r="Y9" s="2"/>
      <c r="Z9" s="2"/>
      <c r="AA9" s="2"/>
    </row>
    <row r="10" spans="1:27" ht="15.75" customHeight="1">
      <c r="A10" s="14"/>
      <c r="B10" s="27" t="s">
        <v>334</v>
      </c>
      <c r="C10" s="29" t="s">
        <v>335</v>
      </c>
      <c r="D10" s="29"/>
      <c r="E10" s="29"/>
      <c r="F10" s="29"/>
      <c r="G10" s="29"/>
      <c r="H10" s="13" t="s">
        <v>156</v>
      </c>
      <c r="I10" s="13" t="s">
        <v>14</v>
      </c>
      <c r="J10" s="13">
        <v>1</v>
      </c>
      <c r="K10" s="14"/>
    </row>
    <row r="11" spans="1:27" ht="15.75" customHeight="1">
      <c r="A11" s="14"/>
      <c r="B11" s="27" t="s">
        <v>336</v>
      </c>
      <c r="C11" s="29" t="s">
        <v>337</v>
      </c>
      <c r="D11" s="29"/>
      <c r="E11" s="29"/>
      <c r="F11" s="29"/>
      <c r="G11" s="29"/>
      <c r="H11" s="13" t="s">
        <v>163</v>
      </c>
      <c r="I11" s="13" t="s">
        <v>14</v>
      </c>
      <c r="J11" s="13">
        <v>2</v>
      </c>
      <c r="K11" s="14"/>
    </row>
    <row r="12" spans="1:27">
      <c r="B12" s="16" t="s">
        <v>338</v>
      </c>
      <c r="C12" s="37" t="s">
        <v>339</v>
      </c>
      <c r="D12" s="37"/>
      <c r="E12" s="37"/>
      <c r="F12" s="37"/>
      <c r="G12" s="37"/>
      <c r="H12" s="17" t="s">
        <v>163</v>
      </c>
      <c r="I12" s="17" t="s">
        <v>14</v>
      </c>
      <c r="J12" s="17">
        <v>2</v>
      </c>
    </row>
    <row r="13" spans="1:27">
      <c r="A13" s="14"/>
      <c r="B13" s="16" t="s">
        <v>340</v>
      </c>
      <c r="C13" s="29" t="s">
        <v>278</v>
      </c>
      <c r="D13" s="29"/>
      <c r="E13" s="29"/>
      <c r="F13" s="29"/>
      <c r="G13" s="29"/>
      <c r="H13" s="13" t="s">
        <v>151</v>
      </c>
      <c r="I13" s="13" t="s">
        <v>14</v>
      </c>
      <c r="J13" s="13">
        <v>2</v>
      </c>
    </row>
    <row r="14" spans="1:27">
      <c r="A14" s="14"/>
      <c r="B14" s="16" t="s">
        <v>341</v>
      </c>
      <c r="C14" s="29" t="s">
        <v>266</v>
      </c>
      <c r="D14" s="29"/>
      <c r="E14" s="29"/>
      <c r="F14" s="29"/>
      <c r="G14" s="29"/>
      <c r="H14" s="13" t="s">
        <v>151</v>
      </c>
      <c r="I14" s="13" t="s">
        <v>14</v>
      </c>
      <c r="J14" s="13">
        <v>1</v>
      </c>
      <c r="K14" s="15">
        <f>SUM(J8:J14)</f>
        <v>13</v>
      </c>
    </row>
    <row r="15" spans="1:27" ht="12.75">
      <c r="B15" s="14"/>
      <c r="C15" s="14"/>
      <c r="D15" s="14"/>
      <c r="E15" s="14"/>
      <c r="F15" s="14"/>
      <c r="G15" s="14"/>
      <c r="H15" s="14"/>
      <c r="I15" s="14"/>
      <c r="J15" s="14"/>
    </row>
    <row r="16" spans="1:27" ht="12.75"/>
    <row r="17" spans="2:11">
      <c r="B17" s="6" t="s">
        <v>0</v>
      </c>
      <c r="C17" s="6" t="s">
        <v>1</v>
      </c>
      <c r="D17" s="6" t="s">
        <v>2</v>
      </c>
      <c r="E17" s="6" t="s">
        <v>146</v>
      </c>
      <c r="F17" s="6" t="s">
        <v>147</v>
      </c>
      <c r="G17" s="6" t="s">
        <v>148</v>
      </c>
      <c r="H17" s="6" t="s">
        <v>5</v>
      </c>
      <c r="I17" s="6" t="s">
        <v>149</v>
      </c>
      <c r="J17" s="6" t="s">
        <v>150</v>
      </c>
    </row>
    <row r="18" spans="2:11" ht="102">
      <c r="B18" s="11" t="s">
        <v>16</v>
      </c>
      <c r="C18" s="12" t="s">
        <v>17</v>
      </c>
      <c r="D18" s="12" t="s">
        <v>10</v>
      </c>
      <c r="E18" s="5" t="s">
        <v>18</v>
      </c>
      <c r="F18" s="5" t="s">
        <v>19</v>
      </c>
      <c r="G18" s="12" t="s">
        <v>156</v>
      </c>
      <c r="H18" s="5" t="s">
        <v>20</v>
      </c>
      <c r="I18" s="12" t="s">
        <v>14</v>
      </c>
      <c r="J18" s="12" t="s">
        <v>15</v>
      </c>
    </row>
    <row r="19" spans="2:11" ht="15.75" customHeight="1">
      <c r="C19" s="10"/>
      <c r="D19" s="10"/>
      <c r="E19" s="10"/>
      <c r="F19" s="10"/>
      <c r="G19" s="10"/>
      <c r="H19" s="10"/>
      <c r="I19" s="10"/>
      <c r="J19" s="10"/>
    </row>
    <row r="20" spans="2:11" ht="15.75" customHeight="1">
      <c r="B20" s="14"/>
      <c r="C20" s="10"/>
      <c r="D20" s="10"/>
      <c r="E20" s="10"/>
      <c r="F20" s="10"/>
      <c r="G20" s="10"/>
      <c r="H20" s="10"/>
      <c r="I20" s="10"/>
      <c r="J20" s="10"/>
    </row>
    <row r="21" spans="2:11" ht="15.75">
      <c r="B21" s="27" t="s">
        <v>0</v>
      </c>
      <c r="C21" s="30" t="s">
        <v>152</v>
      </c>
      <c r="D21" s="30"/>
      <c r="E21" s="30"/>
      <c r="F21" s="30"/>
      <c r="G21" s="30"/>
      <c r="H21" s="27" t="s">
        <v>148</v>
      </c>
      <c r="I21" s="27" t="s">
        <v>149</v>
      </c>
      <c r="J21" s="27" t="s">
        <v>153</v>
      </c>
    </row>
    <row r="22" spans="2:11">
      <c r="B22" s="27" t="s">
        <v>342</v>
      </c>
      <c r="C22" s="29" t="s">
        <v>343</v>
      </c>
      <c r="D22" s="29"/>
      <c r="E22" s="29"/>
      <c r="F22" s="29"/>
      <c r="G22" s="29"/>
      <c r="H22" s="13" t="s">
        <v>156</v>
      </c>
      <c r="I22" s="13" t="s">
        <v>14</v>
      </c>
      <c r="J22" s="13">
        <v>2</v>
      </c>
    </row>
    <row r="23" spans="2:11">
      <c r="B23" s="27" t="s">
        <v>344</v>
      </c>
      <c r="C23" s="29" t="s">
        <v>345</v>
      </c>
      <c r="D23" s="29"/>
      <c r="E23" s="29"/>
      <c r="F23" s="29"/>
      <c r="G23" s="29"/>
      <c r="H23" s="13" t="s">
        <v>156</v>
      </c>
      <c r="I23" s="13" t="s">
        <v>14</v>
      </c>
      <c r="J23" s="13">
        <v>2</v>
      </c>
    </row>
    <row r="24" spans="2:11">
      <c r="B24" s="27" t="s">
        <v>346</v>
      </c>
      <c r="C24" s="29" t="s">
        <v>347</v>
      </c>
      <c r="D24" s="29"/>
      <c r="E24" s="29"/>
      <c r="F24" s="29"/>
      <c r="G24" s="29"/>
      <c r="H24" s="13" t="s">
        <v>163</v>
      </c>
      <c r="I24" s="13" t="s">
        <v>14</v>
      </c>
      <c r="J24" s="13">
        <v>2</v>
      </c>
    </row>
    <row r="25" spans="2:11" ht="15.75" customHeight="1">
      <c r="B25" s="27" t="s">
        <v>348</v>
      </c>
      <c r="C25" s="29" t="s">
        <v>349</v>
      </c>
      <c r="D25" s="29"/>
      <c r="E25" s="29"/>
      <c r="F25" s="29"/>
      <c r="G25" s="29"/>
      <c r="H25" s="13" t="s">
        <v>163</v>
      </c>
      <c r="I25" s="13" t="s">
        <v>14</v>
      </c>
      <c r="J25" s="13">
        <v>1</v>
      </c>
    </row>
    <row r="26" spans="2:11" ht="15.75" customHeight="1">
      <c r="B26" s="27" t="s">
        <v>350</v>
      </c>
      <c r="C26" s="29" t="s">
        <v>351</v>
      </c>
      <c r="D26" s="29"/>
      <c r="E26" s="29"/>
      <c r="F26" s="29"/>
      <c r="G26" s="29"/>
      <c r="H26" s="13" t="s">
        <v>151</v>
      </c>
      <c r="I26" s="13" t="s">
        <v>14</v>
      </c>
      <c r="J26" s="13">
        <v>1</v>
      </c>
      <c r="K26" s="15">
        <f>SUM(J22:J26)</f>
        <v>8</v>
      </c>
    </row>
    <row r="27" spans="2:11" ht="15.75" customHeight="1"/>
    <row r="28" spans="2:11" ht="12.75"/>
    <row r="29" spans="2:11">
      <c r="B29" s="6" t="s">
        <v>0</v>
      </c>
      <c r="C29" s="6" t="s">
        <v>1</v>
      </c>
      <c r="D29" s="6" t="s">
        <v>2</v>
      </c>
      <c r="E29" s="6" t="s">
        <v>146</v>
      </c>
      <c r="F29" s="6" t="s">
        <v>147</v>
      </c>
      <c r="G29" s="6" t="s">
        <v>148</v>
      </c>
      <c r="H29" s="6" t="s">
        <v>5</v>
      </c>
      <c r="I29" s="6" t="s">
        <v>149</v>
      </c>
      <c r="J29" s="6" t="s">
        <v>150</v>
      </c>
    </row>
    <row r="30" spans="2:11" ht="89.25">
      <c r="B30" s="11" t="s">
        <v>21</v>
      </c>
      <c r="C30" s="12" t="s">
        <v>352</v>
      </c>
      <c r="D30" s="5" t="s">
        <v>23</v>
      </c>
      <c r="E30" s="5" t="s">
        <v>24</v>
      </c>
      <c r="F30" s="5" t="s">
        <v>353</v>
      </c>
      <c r="G30" s="12" t="s">
        <v>156</v>
      </c>
      <c r="H30" s="5" t="s">
        <v>26</v>
      </c>
      <c r="I30" s="12" t="s">
        <v>14</v>
      </c>
      <c r="J30" s="12" t="s">
        <v>354</v>
      </c>
    </row>
    <row r="31" spans="2:11" ht="12.75">
      <c r="C31" s="10"/>
      <c r="D31" s="10"/>
      <c r="E31" s="10"/>
      <c r="F31" s="10"/>
      <c r="G31" s="10"/>
      <c r="H31" s="10"/>
      <c r="I31" s="10"/>
      <c r="J31" s="10"/>
    </row>
    <row r="32" spans="2:11" ht="15.75" customHeight="1">
      <c r="B32" s="14"/>
      <c r="C32" s="10"/>
      <c r="D32" s="10"/>
      <c r="E32" s="10"/>
      <c r="F32" s="10"/>
      <c r="G32" s="10"/>
      <c r="H32" s="10"/>
      <c r="I32" s="10"/>
      <c r="J32" s="10"/>
    </row>
    <row r="33" spans="2:11" ht="15.75" customHeight="1">
      <c r="B33" s="27" t="s">
        <v>0</v>
      </c>
      <c r="C33" s="30" t="s">
        <v>152</v>
      </c>
      <c r="D33" s="30"/>
      <c r="E33" s="30"/>
      <c r="F33" s="30"/>
      <c r="G33" s="30"/>
      <c r="H33" s="27" t="s">
        <v>148</v>
      </c>
      <c r="I33" s="27" t="s">
        <v>149</v>
      </c>
      <c r="J33" s="27" t="s">
        <v>153</v>
      </c>
    </row>
    <row r="34" spans="2:11" ht="15.75" customHeight="1">
      <c r="B34" s="27" t="s">
        <v>355</v>
      </c>
      <c r="C34" s="29" t="s">
        <v>356</v>
      </c>
      <c r="D34" s="29"/>
      <c r="E34" s="29"/>
      <c r="F34" s="29"/>
      <c r="G34" s="29"/>
      <c r="H34" s="13" t="s">
        <v>156</v>
      </c>
      <c r="I34" s="13" t="s">
        <v>14</v>
      </c>
      <c r="J34" s="13">
        <v>3</v>
      </c>
    </row>
    <row r="35" spans="2:11">
      <c r="B35" s="27" t="s">
        <v>357</v>
      </c>
      <c r="C35" s="29" t="s">
        <v>358</v>
      </c>
      <c r="D35" s="29"/>
      <c r="E35" s="29"/>
      <c r="F35" s="29"/>
      <c r="G35" s="29"/>
      <c r="H35" s="13" t="s">
        <v>156</v>
      </c>
      <c r="I35" s="13" t="s">
        <v>14</v>
      </c>
      <c r="J35" s="13">
        <v>3</v>
      </c>
    </row>
    <row r="36" spans="2:11">
      <c r="B36" s="27" t="s">
        <v>359</v>
      </c>
      <c r="C36" s="29" t="s">
        <v>360</v>
      </c>
      <c r="D36" s="29"/>
      <c r="E36" s="29"/>
      <c r="F36" s="29"/>
      <c r="G36" s="29"/>
      <c r="H36" s="13" t="s">
        <v>163</v>
      </c>
      <c r="I36" s="13" t="s">
        <v>14</v>
      </c>
      <c r="J36" s="13">
        <v>3</v>
      </c>
    </row>
    <row r="37" spans="2:11">
      <c r="B37" s="27" t="s">
        <v>361</v>
      </c>
      <c r="C37" s="29" t="s">
        <v>362</v>
      </c>
      <c r="D37" s="29"/>
      <c r="E37" s="29"/>
      <c r="F37" s="29"/>
      <c r="G37" s="29"/>
      <c r="H37" s="13" t="s">
        <v>163</v>
      </c>
      <c r="I37" s="13" t="s">
        <v>14</v>
      </c>
      <c r="J37" s="13">
        <v>3</v>
      </c>
    </row>
    <row r="38" spans="2:11" ht="15.75" customHeight="1">
      <c r="B38" s="27" t="s">
        <v>363</v>
      </c>
      <c r="C38" s="29" t="s">
        <v>264</v>
      </c>
      <c r="D38" s="29"/>
      <c r="E38" s="29"/>
      <c r="F38" s="29"/>
      <c r="G38" s="29"/>
      <c r="H38" s="13" t="s">
        <v>151</v>
      </c>
      <c r="I38" s="13" t="s">
        <v>14</v>
      </c>
      <c r="J38" s="13">
        <v>3</v>
      </c>
    </row>
    <row r="39" spans="2:11">
      <c r="B39" s="27" t="s">
        <v>364</v>
      </c>
      <c r="C39" s="26" t="s">
        <v>266</v>
      </c>
      <c r="D39" s="26"/>
      <c r="E39" s="26"/>
      <c r="F39" s="26"/>
      <c r="G39" s="26"/>
      <c r="H39" s="13" t="s">
        <v>151</v>
      </c>
      <c r="I39" s="13" t="s">
        <v>14</v>
      </c>
      <c r="J39" s="13">
        <v>2</v>
      </c>
      <c r="K39" s="15">
        <f>SUM(J34:J39)</f>
        <v>17</v>
      </c>
    </row>
    <row r="40" spans="2:11" ht="15.75" customHeight="1"/>
    <row r="41" spans="2:11" ht="15.75" customHeight="1"/>
    <row r="42" spans="2:11" ht="15.75" customHeight="1">
      <c r="B42" s="6" t="s">
        <v>0</v>
      </c>
      <c r="C42" s="6" t="s">
        <v>1</v>
      </c>
      <c r="D42" s="6" t="s">
        <v>2</v>
      </c>
      <c r="E42" s="6" t="s">
        <v>146</v>
      </c>
      <c r="F42" s="6" t="s">
        <v>147</v>
      </c>
      <c r="G42" s="6" t="s">
        <v>148</v>
      </c>
      <c r="H42" s="6" t="s">
        <v>5</v>
      </c>
      <c r="I42" s="6" t="s">
        <v>149</v>
      </c>
      <c r="J42" s="6" t="s">
        <v>150</v>
      </c>
    </row>
    <row r="43" spans="2:11" ht="89.25">
      <c r="B43" s="11" t="s">
        <v>27</v>
      </c>
      <c r="C43" s="5" t="s">
        <v>28</v>
      </c>
      <c r="D43" s="5" t="s">
        <v>29</v>
      </c>
      <c r="E43" s="7" t="s">
        <v>30</v>
      </c>
      <c r="F43" s="5" t="s">
        <v>31</v>
      </c>
      <c r="G43" s="12"/>
      <c r="H43" s="5" t="s">
        <v>32</v>
      </c>
      <c r="I43" s="12" t="s">
        <v>14</v>
      </c>
      <c r="J43" s="12" t="s">
        <v>354</v>
      </c>
    </row>
    <row r="44" spans="2:11" ht="15.75" customHeight="1">
      <c r="C44" s="10"/>
      <c r="D44" s="10"/>
      <c r="E44" s="10"/>
      <c r="F44" s="10"/>
      <c r="G44" s="10"/>
      <c r="H44" s="10"/>
      <c r="I44" s="10"/>
      <c r="J44" s="10"/>
    </row>
    <row r="45" spans="2:11" ht="15.75" customHeight="1">
      <c r="B45" s="14"/>
      <c r="C45" s="10"/>
      <c r="D45" s="10"/>
      <c r="E45" s="10"/>
      <c r="F45" s="10"/>
      <c r="G45" s="10"/>
      <c r="H45" s="10"/>
      <c r="I45" s="10"/>
      <c r="J45" s="10"/>
    </row>
    <row r="46" spans="2:11" ht="15.75" customHeight="1">
      <c r="B46" s="27" t="s">
        <v>0</v>
      </c>
      <c r="C46" s="30" t="s">
        <v>152</v>
      </c>
      <c r="D46" s="30"/>
      <c r="E46" s="30"/>
      <c r="F46" s="30"/>
      <c r="G46" s="30"/>
      <c r="H46" s="27" t="s">
        <v>148</v>
      </c>
      <c r="I46" s="27" t="s">
        <v>149</v>
      </c>
      <c r="J46" s="27" t="s">
        <v>153</v>
      </c>
    </row>
    <row r="47" spans="2:11" ht="15.75" customHeight="1">
      <c r="B47" s="27" t="s">
        <v>365</v>
      </c>
      <c r="C47" s="29" t="s">
        <v>254</v>
      </c>
      <c r="D47" s="29"/>
      <c r="E47" s="29"/>
      <c r="F47" s="29"/>
      <c r="G47" s="29"/>
      <c r="H47" s="13" t="s">
        <v>156</v>
      </c>
      <c r="I47" s="13" t="s">
        <v>14</v>
      </c>
      <c r="J47" s="13">
        <v>2</v>
      </c>
    </row>
    <row r="48" spans="2:11" ht="15.75" customHeight="1">
      <c r="B48" s="27" t="s">
        <v>366</v>
      </c>
      <c r="C48" s="29" t="s">
        <v>256</v>
      </c>
      <c r="D48" s="29"/>
      <c r="E48" s="29"/>
      <c r="F48" s="29"/>
      <c r="G48" s="29"/>
      <c r="H48" s="13" t="s">
        <v>156</v>
      </c>
      <c r="I48" s="13" t="s">
        <v>14</v>
      </c>
      <c r="J48" s="13">
        <v>2</v>
      </c>
    </row>
    <row r="49" spans="2:11" ht="15.75" customHeight="1">
      <c r="B49" s="27" t="s">
        <v>367</v>
      </c>
      <c r="C49" s="29" t="s">
        <v>258</v>
      </c>
      <c r="D49" s="29"/>
      <c r="E49" s="29"/>
      <c r="F49" s="29"/>
      <c r="G49" s="29"/>
      <c r="H49" s="13" t="s">
        <v>156</v>
      </c>
      <c r="I49" s="13" t="s">
        <v>14</v>
      </c>
      <c r="J49" s="13">
        <v>2</v>
      </c>
    </row>
    <row r="50" spans="2:11" ht="15.75" customHeight="1">
      <c r="B50" s="27" t="s">
        <v>368</v>
      </c>
      <c r="C50" s="29" t="s">
        <v>260</v>
      </c>
      <c r="D50" s="29"/>
      <c r="E50" s="29"/>
      <c r="F50" s="29"/>
      <c r="G50" s="29"/>
      <c r="H50" s="13" t="s">
        <v>156</v>
      </c>
      <c r="I50" s="13" t="s">
        <v>14</v>
      </c>
      <c r="J50" s="13">
        <v>3</v>
      </c>
    </row>
    <row r="51" spans="2:11" ht="15.75" customHeight="1">
      <c r="B51" s="27" t="s">
        <v>369</v>
      </c>
      <c r="C51" s="29" t="s">
        <v>262</v>
      </c>
      <c r="D51" s="29"/>
      <c r="E51" s="29"/>
      <c r="F51" s="29"/>
      <c r="G51" s="29"/>
      <c r="H51" s="13" t="s">
        <v>163</v>
      </c>
      <c r="I51" s="13" t="s">
        <v>14</v>
      </c>
      <c r="J51" s="13">
        <v>2</v>
      </c>
    </row>
    <row r="52" spans="2:11" ht="15.75" customHeight="1">
      <c r="B52" s="27" t="s">
        <v>370</v>
      </c>
      <c r="C52" s="29" t="s">
        <v>264</v>
      </c>
      <c r="D52" s="29"/>
      <c r="E52" s="29"/>
      <c r="F52" s="29"/>
      <c r="G52" s="29"/>
      <c r="H52" s="13" t="s">
        <v>163</v>
      </c>
      <c r="I52" s="13" t="s">
        <v>14</v>
      </c>
      <c r="J52" s="13">
        <v>3</v>
      </c>
    </row>
    <row r="53" spans="2:11" ht="15.75" customHeight="1">
      <c r="B53" s="27" t="s">
        <v>371</v>
      </c>
      <c r="C53" s="29" t="s">
        <v>266</v>
      </c>
      <c r="D53" s="29"/>
      <c r="E53" s="29"/>
      <c r="F53" s="29"/>
      <c r="G53" s="29"/>
      <c r="H53" s="13" t="s">
        <v>151</v>
      </c>
      <c r="I53" s="13" t="s">
        <v>14</v>
      </c>
      <c r="J53" s="13">
        <v>2</v>
      </c>
      <c r="K53" s="15">
        <f>SUM(J47:J53)</f>
        <v>16</v>
      </c>
    </row>
    <row r="54" spans="2:11" ht="15.75" customHeight="1"/>
    <row r="55" spans="2:11" ht="15.75" customHeight="1"/>
    <row r="56" spans="2:11" ht="15.75" customHeight="1">
      <c r="B56" s="6" t="s">
        <v>0</v>
      </c>
      <c r="C56" s="6" t="s">
        <v>1</v>
      </c>
      <c r="D56" s="6" t="s">
        <v>2</v>
      </c>
      <c r="E56" s="6" t="s">
        <v>146</v>
      </c>
      <c r="F56" s="6" t="s">
        <v>147</v>
      </c>
      <c r="G56" s="6" t="s">
        <v>148</v>
      </c>
      <c r="H56" s="6" t="s">
        <v>5</v>
      </c>
      <c r="I56" s="6" t="s">
        <v>149</v>
      </c>
      <c r="J56" s="6" t="s">
        <v>150</v>
      </c>
    </row>
    <row r="57" spans="2:11" ht="102">
      <c r="B57" s="6" t="s">
        <v>33</v>
      </c>
      <c r="C57" s="5" t="s">
        <v>34</v>
      </c>
      <c r="D57" s="5" t="s">
        <v>23</v>
      </c>
      <c r="E57" s="8" t="s">
        <v>35</v>
      </c>
      <c r="F57" s="5" t="s">
        <v>36</v>
      </c>
      <c r="G57" t="s">
        <v>156</v>
      </c>
      <c r="H57" s="5" t="s">
        <v>37</v>
      </c>
      <c r="I57" s="5" t="s">
        <v>14</v>
      </c>
      <c r="J57" s="5" t="s">
        <v>372</v>
      </c>
    </row>
    <row r="58" spans="2:11" ht="15.75" customHeight="1">
      <c r="C58" s="10"/>
      <c r="D58" s="10"/>
      <c r="E58" s="10"/>
      <c r="F58" s="10"/>
      <c r="G58" s="10"/>
      <c r="H58" s="10"/>
      <c r="I58" s="10"/>
      <c r="J58" s="10"/>
    </row>
    <row r="59" spans="2:11" ht="15.75" customHeight="1">
      <c r="B59" s="14"/>
      <c r="C59" s="10"/>
      <c r="D59" s="10"/>
      <c r="E59" s="10"/>
      <c r="F59" s="10"/>
      <c r="G59" s="10"/>
      <c r="H59" s="10"/>
      <c r="I59" s="10"/>
      <c r="J59" s="10"/>
    </row>
    <row r="60" spans="2:11" ht="15.75" customHeight="1">
      <c r="B60" s="27" t="s">
        <v>0</v>
      </c>
      <c r="C60" s="30" t="s">
        <v>152</v>
      </c>
      <c r="D60" s="30"/>
      <c r="E60" s="30"/>
      <c r="F60" s="30"/>
      <c r="G60" s="30"/>
      <c r="H60" s="27" t="s">
        <v>148</v>
      </c>
      <c r="I60" s="27" t="s">
        <v>149</v>
      </c>
      <c r="J60" s="27" t="s">
        <v>153</v>
      </c>
    </row>
    <row r="61" spans="2:11" ht="15.75" customHeight="1">
      <c r="B61" s="27" t="s">
        <v>373</v>
      </c>
      <c r="C61" s="29" t="s">
        <v>374</v>
      </c>
      <c r="D61" s="29"/>
      <c r="E61" s="29"/>
      <c r="F61" s="29"/>
      <c r="G61" s="29"/>
      <c r="H61" s="13" t="s">
        <v>156</v>
      </c>
      <c r="I61" s="13" t="s">
        <v>14</v>
      </c>
      <c r="J61" s="13">
        <v>2</v>
      </c>
    </row>
    <row r="62" spans="2:11" ht="15.75" customHeight="1">
      <c r="B62" s="27" t="s">
        <v>375</v>
      </c>
      <c r="C62" s="29" t="s">
        <v>260</v>
      </c>
      <c r="D62" s="29"/>
      <c r="E62" s="29"/>
      <c r="F62" s="29"/>
      <c r="G62" s="29"/>
      <c r="H62" s="13" t="s">
        <v>156</v>
      </c>
      <c r="I62" s="13" t="s">
        <v>14</v>
      </c>
      <c r="J62" s="13">
        <v>4</v>
      </c>
    </row>
    <row r="63" spans="2:11" ht="15.75" customHeight="1">
      <c r="B63" s="27" t="s">
        <v>376</v>
      </c>
      <c r="C63" s="29" t="s">
        <v>377</v>
      </c>
      <c r="D63" s="29"/>
      <c r="E63" s="29"/>
      <c r="F63" s="29"/>
      <c r="G63" s="29"/>
      <c r="H63" s="13" t="s">
        <v>163</v>
      </c>
      <c r="I63" s="13" t="s">
        <v>14</v>
      </c>
      <c r="J63" s="13">
        <v>2</v>
      </c>
    </row>
    <row r="64" spans="2:11" ht="15.75" customHeight="1">
      <c r="B64" s="27" t="s">
        <v>378</v>
      </c>
      <c r="C64" s="29" t="s">
        <v>379</v>
      </c>
      <c r="D64" s="29"/>
      <c r="E64" s="29"/>
      <c r="F64" s="29"/>
      <c r="G64" s="29"/>
      <c r="H64" s="13" t="s">
        <v>163</v>
      </c>
      <c r="I64" s="13" t="s">
        <v>14</v>
      </c>
      <c r="J64" s="13">
        <v>3</v>
      </c>
    </row>
    <row r="65" spans="2:12" ht="15.75" customHeight="1">
      <c r="B65" s="27" t="s">
        <v>380</v>
      </c>
      <c r="C65" s="29" t="s">
        <v>264</v>
      </c>
      <c r="D65" s="29"/>
      <c r="E65" s="29"/>
      <c r="F65" s="29"/>
      <c r="G65" s="29"/>
      <c r="H65" s="13" t="s">
        <v>151</v>
      </c>
      <c r="I65" s="13" t="s">
        <v>14</v>
      </c>
      <c r="J65" s="13">
        <v>2</v>
      </c>
    </row>
    <row r="66" spans="2:12" ht="15.75" customHeight="1">
      <c r="B66" s="27" t="s">
        <v>381</v>
      </c>
      <c r="C66" s="29" t="s">
        <v>266</v>
      </c>
      <c r="D66" s="29"/>
      <c r="E66" s="29"/>
      <c r="F66" s="29"/>
      <c r="G66" s="29"/>
      <c r="H66" s="13" t="s">
        <v>151</v>
      </c>
      <c r="I66" s="13" t="s">
        <v>14</v>
      </c>
      <c r="J66" s="13">
        <v>3</v>
      </c>
      <c r="K66" s="15">
        <f>SUM(J61:J66)</f>
        <v>16</v>
      </c>
    </row>
    <row r="67" spans="2:12" ht="15.75" customHeight="1"/>
    <row r="68" spans="2:12" ht="15.75" customHeight="1"/>
    <row r="69" spans="2:12" ht="15.75" customHeight="1">
      <c r="K69" t="s">
        <v>214</v>
      </c>
      <c r="L69" s="18">
        <f>SUM(K53,K39,K66,K26,K14)</f>
        <v>70</v>
      </c>
    </row>
    <row r="70" spans="2:12" ht="15.75" customHeight="1"/>
    <row r="71" spans="2:12" ht="15.75" customHeight="1"/>
    <row r="72" spans="2:12" ht="15.75" customHeight="1"/>
    <row r="73" spans="2:12" ht="15.75" customHeight="1"/>
    <row r="74" spans="2:12" ht="15.75" customHeight="1"/>
    <row r="75" spans="2:12" ht="15.75" customHeight="1"/>
    <row r="76" spans="2:12" ht="15.75" customHeight="1"/>
    <row r="77" spans="2:12" ht="15.75" customHeight="1"/>
    <row r="78" spans="2:12" ht="15.75" customHeight="1"/>
    <row r="79" spans="2:12" ht="15.75" customHeight="1"/>
    <row r="80" spans="2: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35">
    <mergeCell ref="C14:G14"/>
    <mergeCell ref="C24:G24"/>
    <mergeCell ref="C7:G7"/>
    <mergeCell ref="C8:G8"/>
    <mergeCell ref="C9:G9"/>
    <mergeCell ref="C10:G10"/>
    <mergeCell ref="C13:G13"/>
    <mergeCell ref="C11:G11"/>
    <mergeCell ref="C12:G12"/>
    <mergeCell ref="C36:G36"/>
    <mergeCell ref="C37:G37"/>
    <mergeCell ref="C46:G46"/>
    <mergeCell ref="C21:G21"/>
    <mergeCell ref="C22:G22"/>
    <mergeCell ref="C23:G23"/>
    <mergeCell ref="C25:G25"/>
    <mergeCell ref="C26:G26"/>
    <mergeCell ref="C33:G33"/>
    <mergeCell ref="C34:G34"/>
    <mergeCell ref="C35:G35"/>
    <mergeCell ref="C66:G66"/>
    <mergeCell ref="C38:G38"/>
    <mergeCell ref="C48:G48"/>
    <mergeCell ref="C49:G49"/>
    <mergeCell ref="C65:G65"/>
    <mergeCell ref="C60:G60"/>
    <mergeCell ref="C61:G61"/>
    <mergeCell ref="C62:G62"/>
    <mergeCell ref="C63:G63"/>
    <mergeCell ref="C64:G64"/>
    <mergeCell ref="C47:G47"/>
    <mergeCell ref="C50:G50"/>
    <mergeCell ref="C51:G51"/>
    <mergeCell ref="C52:G52"/>
    <mergeCell ref="C53:G5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97"/>
  <sheetViews>
    <sheetView workbookViewId="0">
      <selection activeCell="J136" sqref="J136"/>
    </sheetView>
  </sheetViews>
  <sheetFormatPr defaultColWidth="12.5703125" defaultRowHeight="15" customHeight="1"/>
  <cols>
    <col min="1" max="1" width="12.42578125" customWidth="1"/>
    <col min="2" max="2" width="24.42578125" customWidth="1"/>
    <col min="3" max="26" width="12.42578125" customWidth="1"/>
  </cols>
  <sheetData>
    <row r="1" spans="1:9" ht="15.75" customHeight="1"/>
    <row r="2" spans="1:9" ht="15.75" customHeight="1"/>
    <row r="3" spans="1:9" ht="30.75">
      <c r="B3" s="6"/>
      <c r="C3" s="6" t="s">
        <v>153</v>
      </c>
      <c r="D3" s="6" t="s">
        <v>382</v>
      </c>
      <c r="E3" s="6" t="s">
        <v>383</v>
      </c>
      <c r="F3" s="6" t="s">
        <v>384</v>
      </c>
      <c r="G3" s="6" t="s">
        <v>385</v>
      </c>
      <c r="H3" s="6" t="s">
        <v>386</v>
      </c>
      <c r="I3" s="6" t="s">
        <v>387</v>
      </c>
    </row>
    <row r="4" spans="1:9" ht="15.75" customHeight="1">
      <c r="A4" s="14"/>
      <c r="B4" s="27" t="s">
        <v>388</v>
      </c>
      <c r="C4" s="19">
        <v>3</v>
      </c>
      <c r="D4" s="20">
        <v>0</v>
      </c>
      <c r="E4" s="20">
        <v>0</v>
      </c>
      <c r="F4" s="20">
        <v>0</v>
      </c>
      <c r="G4" s="20">
        <v>2</v>
      </c>
      <c r="H4" s="20">
        <v>2</v>
      </c>
      <c r="I4" s="21">
        <f>SUM(D4:H4)</f>
        <v>4</v>
      </c>
    </row>
    <row r="5" spans="1:9" ht="15.75" customHeight="1">
      <c r="A5" s="14"/>
      <c r="B5" s="27" t="s">
        <v>389</v>
      </c>
      <c r="C5" s="19">
        <v>2</v>
      </c>
      <c r="D5" s="20">
        <v>0</v>
      </c>
      <c r="E5" s="20">
        <v>0</v>
      </c>
      <c r="F5" s="20">
        <v>0</v>
      </c>
      <c r="G5" s="20">
        <v>2</v>
      </c>
      <c r="H5" s="20">
        <v>0</v>
      </c>
      <c r="I5" s="21">
        <f t="shared" ref="I4:I33" si="0">SUM(D5:H5)</f>
        <v>2</v>
      </c>
    </row>
    <row r="6" spans="1:9" ht="15.75" customHeight="1">
      <c r="A6" s="14"/>
      <c r="B6" s="27" t="s">
        <v>390</v>
      </c>
      <c r="C6" s="19">
        <v>1</v>
      </c>
      <c r="D6" s="20">
        <v>0</v>
      </c>
      <c r="E6" s="20">
        <v>0</v>
      </c>
      <c r="F6" s="20">
        <v>0</v>
      </c>
      <c r="G6" s="20">
        <v>1</v>
      </c>
      <c r="H6" s="20">
        <v>0</v>
      </c>
      <c r="I6" s="21">
        <f t="shared" si="0"/>
        <v>1</v>
      </c>
    </row>
    <row r="7" spans="1:9" ht="15.75" customHeight="1">
      <c r="A7" s="14"/>
      <c r="B7" s="27" t="s">
        <v>391</v>
      </c>
      <c r="C7" s="19">
        <v>2</v>
      </c>
      <c r="D7" s="20">
        <v>0</v>
      </c>
      <c r="E7" s="20">
        <v>0</v>
      </c>
      <c r="F7" s="20">
        <v>0</v>
      </c>
      <c r="G7" s="20">
        <v>3</v>
      </c>
      <c r="H7" s="20">
        <v>0</v>
      </c>
      <c r="I7" s="21">
        <f t="shared" si="0"/>
        <v>3</v>
      </c>
    </row>
    <row r="8" spans="1:9" ht="15.75" customHeight="1">
      <c r="A8" s="14"/>
      <c r="B8" s="27" t="s">
        <v>392</v>
      </c>
      <c r="C8" s="19">
        <v>2</v>
      </c>
      <c r="D8" s="20">
        <v>0</v>
      </c>
      <c r="E8" s="20">
        <v>0</v>
      </c>
      <c r="F8" s="20">
        <v>0</v>
      </c>
      <c r="G8" s="20">
        <v>2</v>
      </c>
      <c r="H8" s="20">
        <v>0</v>
      </c>
      <c r="I8" s="21">
        <f t="shared" si="0"/>
        <v>2</v>
      </c>
    </row>
    <row r="9" spans="1:9" ht="15.75" customHeight="1">
      <c r="A9" s="14"/>
      <c r="B9" s="27" t="s">
        <v>393</v>
      </c>
      <c r="C9" s="19">
        <v>2</v>
      </c>
      <c r="D9" s="20">
        <v>0</v>
      </c>
      <c r="E9" s="20">
        <v>0</v>
      </c>
      <c r="F9" s="20">
        <v>0</v>
      </c>
      <c r="G9" s="20">
        <v>2</v>
      </c>
      <c r="H9" s="20">
        <v>0</v>
      </c>
      <c r="I9" s="21">
        <f t="shared" si="0"/>
        <v>2</v>
      </c>
    </row>
    <row r="10" spans="1:9" ht="15.75" customHeight="1">
      <c r="A10" s="14"/>
      <c r="B10" s="27" t="s">
        <v>394</v>
      </c>
      <c r="C10" s="19">
        <v>1</v>
      </c>
      <c r="D10" s="20">
        <v>0</v>
      </c>
      <c r="E10" s="20">
        <v>0</v>
      </c>
      <c r="F10" s="20">
        <v>0</v>
      </c>
      <c r="G10" s="20">
        <v>1</v>
      </c>
      <c r="H10" s="20">
        <v>0</v>
      </c>
      <c r="I10" s="21">
        <f t="shared" si="0"/>
        <v>1</v>
      </c>
    </row>
    <row r="11" spans="1:9" ht="15.75" customHeight="1">
      <c r="A11" s="14"/>
      <c r="B11" s="27" t="s">
        <v>395</v>
      </c>
      <c r="C11" s="19">
        <v>2</v>
      </c>
      <c r="D11" s="20">
        <v>0</v>
      </c>
      <c r="E11" s="20">
        <v>0</v>
      </c>
      <c r="F11" s="20">
        <v>2</v>
      </c>
      <c r="G11" s="20">
        <v>0</v>
      </c>
      <c r="H11" s="20">
        <v>0</v>
      </c>
      <c r="I11" s="21">
        <f t="shared" si="0"/>
        <v>2</v>
      </c>
    </row>
    <row r="12" spans="1:9" ht="15.75" customHeight="1">
      <c r="A12" s="14"/>
      <c r="B12" s="27" t="s">
        <v>396</v>
      </c>
      <c r="C12" s="19">
        <v>2</v>
      </c>
      <c r="D12" s="20">
        <v>0</v>
      </c>
      <c r="E12" s="20">
        <v>1</v>
      </c>
      <c r="F12" s="20">
        <v>1</v>
      </c>
      <c r="G12" s="20">
        <v>0</v>
      </c>
      <c r="H12" s="20">
        <v>0</v>
      </c>
      <c r="I12" s="21">
        <f t="shared" si="0"/>
        <v>2</v>
      </c>
    </row>
    <row r="13" spans="1:9" ht="15.75" customHeight="1">
      <c r="A13" s="14"/>
      <c r="B13" s="27" t="s">
        <v>397</v>
      </c>
      <c r="C13" s="19">
        <v>2</v>
      </c>
      <c r="D13" s="20">
        <v>0</v>
      </c>
      <c r="E13" s="20">
        <v>0</v>
      </c>
      <c r="F13" s="20">
        <v>2</v>
      </c>
      <c r="G13" s="20">
        <v>0</v>
      </c>
      <c r="H13" s="20">
        <v>0</v>
      </c>
      <c r="I13" s="21">
        <f t="shared" si="0"/>
        <v>2</v>
      </c>
    </row>
    <row r="14" spans="1:9" ht="15.75" customHeight="1">
      <c r="A14" s="14"/>
      <c r="B14" s="27" t="s">
        <v>398</v>
      </c>
      <c r="C14" s="19">
        <v>1</v>
      </c>
      <c r="D14" s="20">
        <v>0</v>
      </c>
      <c r="E14" s="20">
        <v>0</v>
      </c>
      <c r="F14" s="20">
        <v>1</v>
      </c>
      <c r="G14" s="20">
        <v>0</v>
      </c>
      <c r="H14" s="20">
        <v>0</v>
      </c>
      <c r="I14" s="21">
        <f t="shared" si="0"/>
        <v>1</v>
      </c>
    </row>
    <row r="15" spans="1:9" ht="15.75" customHeight="1">
      <c r="A15" s="14"/>
      <c r="B15" s="27" t="s">
        <v>399</v>
      </c>
      <c r="C15" s="19">
        <v>1</v>
      </c>
      <c r="D15" s="20">
        <v>0</v>
      </c>
      <c r="E15" s="20">
        <v>0</v>
      </c>
      <c r="F15" s="20">
        <v>2</v>
      </c>
      <c r="G15" s="20">
        <v>0</v>
      </c>
      <c r="H15" s="20">
        <v>0</v>
      </c>
      <c r="I15" s="21">
        <f t="shared" si="0"/>
        <v>2</v>
      </c>
    </row>
    <row r="16" spans="1:9" ht="15.75" customHeight="1">
      <c r="A16" s="14"/>
      <c r="B16" s="27" t="s">
        <v>400</v>
      </c>
      <c r="C16" s="19">
        <v>3</v>
      </c>
      <c r="D16" s="20">
        <v>0</v>
      </c>
      <c r="E16" s="20">
        <v>2</v>
      </c>
      <c r="F16" s="20">
        <v>1</v>
      </c>
      <c r="G16" s="20">
        <v>0</v>
      </c>
      <c r="H16" s="20">
        <v>0</v>
      </c>
      <c r="I16" s="21">
        <f t="shared" si="0"/>
        <v>3</v>
      </c>
    </row>
    <row r="17" spans="1:9" ht="15.75" customHeight="1">
      <c r="A17" s="14"/>
      <c r="B17" s="27" t="s">
        <v>401</v>
      </c>
      <c r="C17" s="19">
        <v>3</v>
      </c>
      <c r="D17" s="20">
        <v>0</v>
      </c>
      <c r="E17" s="20">
        <v>3</v>
      </c>
      <c r="F17" s="20">
        <v>0</v>
      </c>
      <c r="G17" s="20">
        <v>0</v>
      </c>
      <c r="H17" s="20">
        <v>0</v>
      </c>
      <c r="I17" s="21">
        <f t="shared" si="0"/>
        <v>3</v>
      </c>
    </row>
    <row r="18" spans="1:9" ht="15.75" customHeight="1">
      <c r="A18" s="14"/>
      <c r="B18" s="27" t="s">
        <v>402</v>
      </c>
      <c r="C18" s="19">
        <v>3</v>
      </c>
      <c r="D18" s="20">
        <v>0</v>
      </c>
      <c r="E18" s="20">
        <v>2</v>
      </c>
      <c r="F18" s="20">
        <v>0</v>
      </c>
      <c r="G18" s="20">
        <v>0</v>
      </c>
      <c r="H18" s="20">
        <v>0</v>
      </c>
      <c r="I18" s="21">
        <f t="shared" si="0"/>
        <v>2</v>
      </c>
    </row>
    <row r="19" spans="1:9" ht="15.75" customHeight="1">
      <c r="A19" s="14"/>
      <c r="B19" s="27" t="s">
        <v>403</v>
      </c>
      <c r="C19" s="19">
        <v>3</v>
      </c>
      <c r="D19" s="20">
        <v>0</v>
      </c>
      <c r="E19" s="20">
        <v>1</v>
      </c>
      <c r="F19" s="20">
        <v>0</v>
      </c>
      <c r="G19" s="20">
        <v>0</v>
      </c>
      <c r="H19" s="20">
        <v>0</v>
      </c>
      <c r="I19" s="21">
        <f t="shared" si="0"/>
        <v>1</v>
      </c>
    </row>
    <row r="20" spans="1:9" ht="15.75" customHeight="1">
      <c r="A20" s="14"/>
      <c r="B20" s="27" t="s">
        <v>404</v>
      </c>
      <c r="C20" s="19">
        <v>3</v>
      </c>
      <c r="D20" s="20">
        <v>0</v>
      </c>
      <c r="E20" s="20">
        <v>2</v>
      </c>
      <c r="F20" s="20">
        <v>0</v>
      </c>
      <c r="G20" s="20">
        <v>0</v>
      </c>
      <c r="H20" s="20">
        <v>0</v>
      </c>
      <c r="I20" s="21">
        <f t="shared" si="0"/>
        <v>2</v>
      </c>
    </row>
    <row r="21" spans="1:9" ht="15.75" customHeight="1">
      <c r="A21" s="14"/>
      <c r="B21" s="27" t="s">
        <v>405</v>
      </c>
      <c r="C21" s="19">
        <v>2</v>
      </c>
      <c r="D21" s="20">
        <v>0</v>
      </c>
      <c r="E21" s="20">
        <v>1</v>
      </c>
      <c r="F21" s="20">
        <v>0</v>
      </c>
      <c r="G21" s="20">
        <v>0</v>
      </c>
      <c r="H21" s="20">
        <v>0</v>
      </c>
      <c r="I21" s="21">
        <f t="shared" si="0"/>
        <v>1</v>
      </c>
    </row>
    <row r="22" spans="1:9" ht="15.75" customHeight="1">
      <c r="A22" s="14"/>
      <c r="B22" s="27" t="s">
        <v>406</v>
      </c>
      <c r="C22" s="19">
        <v>2</v>
      </c>
      <c r="D22" s="20">
        <v>0</v>
      </c>
      <c r="E22" s="20">
        <v>1</v>
      </c>
      <c r="F22" s="20">
        <v>0</v>
      </c>
      <c r="G22" s="20">
        <v>0</v>
      </c>
      <c r="H22" s="20">
        <v>0</v>
      </c>
      <c r="I22" s="21">
        <f t="shared" si="0"/>
        <v>1</v>
      </c>
    </row>
    <row r="23" spans="1:9" ht="15.75" customHeight="1">
      <c r="A23" s="14"/>
      <c r="B23" s="27" t="s">
        <v>407</v>
      </c>
      <c r="C23" s="19">
        <v>2</v>
      </c>
      <c r="D23" s="20">
        <v>0</v>
      </c>
      <c r="E23" s="20">
        <v>1</v>
      </c>
      <c r="F23" s="20">
        <v>0</v>
      </c>
      <c r="G23" s="20">
        <v>0</v>
      </c>
      <c r="H23" s="20">
        <v>0</v>
      </c>
      <c r="I23" s="21">
        <f t="shared" si="0"/>
        <v>1</v>
      </c>
    </row>
    <row r="24" spans="1:9" ht="15.75" customHeight="1">
      <c r="A24" s="14"/>
      <c r="B24" s="27" t="s">
        <v>408</v>
      </c>
      <c r="C24" s="19">
        <v>2</v>
      </c>
      <c r="D24" s="20">
        <v>0</v>
      </c>
      <c r="E24" s="20">
        <v>1</v>
      </c>
      <c r="F24" s="20">
        <v>0</v>
      </c>
      <c r="G24" s="20">
        <v>0</v>
      </c>
      <c r="H24" s="20">
        <v>0</v>
      </c>
      <c r="I24" s="21">
        <f t="shared" si="0"/>
        <v>1</v>
      </c>
    </row>
    <row r="25" spans="1:9" ht="15.75" customHeight="1">
      <c r="A25" s="14"/>
      <c r="B25" s="27" t="s">
        <v>409</v>
      </c>
      <c r="C25" s="19">
        <v>3</v>
      </c>
      <c r="D25" s="20">
        <v>0</v>
      </c>
      <c r="E25" s="20">
        <v>3</v>
      </c>
      <c r="F25" s="20">
        <v>0</v>
      </c>
      <c r="G25" s="20">
        <v>0</v>
      </c>
      <c r="H25" s="20">
        <v>0</v>
      </c>
      <c r="I25" s="21">
        <f t="shared" si="0"/>
        <v>3</v>
      </c>
    </row>
    <row r="26" spans="1:9" ht="15.75" customHeight="1">
      <c r="A26" s="14"/>
      <c r="B26" s="27" t="s">
        <v>410</v>
      </c>
      <c r="C26" s="19">
        <v>2</v>
      </c>
      <c r="D26" s="20">
        <v>1</v>
      </c>
      <c r="E26" s="20">
        <v>1</v>
      </c>
      <c r="F26" s="20">
        <v>0</v>
      </c>
      <c r="G26" s="20">
        <v>0</v>
      </c>
      <c r="H26" s="20">
        <v>0</v>
      </c>
      <c r="I26" s="21">
        <f t="shared" si="0"/>
        <v>2</v>
      </c>
    </row>
    <row r="27" spans="1:9" ht="15.75" customHeight="1">
      <c r="A27" s="14"/>
      <c r="B27" s="27" t="s">
        <v>411</v>
      </c>
      <c r="C27" s="19">
        <v>3</v>
      </c>
      <c r="D27" s="20">
        <v>0</v>
      </c>
      <c r="E27" s="20">
        <v>2</v>
      </c>
      <c r="F27" s="20">
        <v>0</v>
      </c>
      <c r="G27" s="20">
        <v>0</v>
      </c>
      <c r="H27" s="20">
        <v>0</v>
      </c>
      <c r="I27" s="21">
        <f t="shared" si="0"/>
        <v>2</v>
      </c>
    </row>
    <row r="28" spans="1:9" ht="15.75" customHeight="1">
      <c r="A28" s="14"/>
      <c r="B28" s="27" t="s">
        <v>412</v>
      </c>
      <c r="C28" s="19">
        <v>2</v>
      </c>
      <c r="D28" s="20">
        <v>0</v>
      </c>
      <c r="E28" s="20">
        <v>1</v>
      </c>
      <c r="F28" s="20">
        <v>0</v>
      </c>
      <c r="G28" s="20">
        <v>0</v>
      </c>
      <c r="H28" s="20">
        <v>0</v>
      </c>
      <c r="I28" s="21">
        <f t="shared" si="0"/>
        <v>1</v>
      </c>
    </row>
    <row r="29" spans="1:9" ht="15.75" customHeight="1">
      <c r="A29" s="14"/>
      <c r="B29" s="27" t="s">
        <v>413</v>
      </c>
      <c r="C29" s="19">
        <v>2</v>
      </c>
      <c r="D29" s="20">
        <v>0</v>
      </c>
      <c r="E29" s="20">
        <v>1</v>
      </c>
      <c r="F29" s="20">
        <v>0</v>
      </c>
      <c r="G29" s="20">
        <v>0</v>
      </c>
      <c r="H29" s="20">
        <v>0</v>
      </c>
      <c r="I29" s="21">
        <f t="shared" si="0"/>
        <v>1</v>
      </c>
    </row>
    <row r="30" spans="1:9" ht="15.75" customHeight="1">
      <c r="A30" s="14"/>
      <c r="B30" s="27" t="s">
        <v>414</v>
      </c>
      <c r="C30" s="19">
        <v>4</v>
      </c>
      <c r="D30" s="20">
        <v>5</v>
      </c>
      <c r="E30" s="20">
        <v>0</v>
      </c>
      <c r="F30" s="20">
        <v>0</v>
      </c>
      <c r="G30" s="20">
        <v>0</v>
      </c>
      <c r="H30" s="20">
        <v>0</v>
      </c>
      <c r="I30" s="21">
        <f t="shared" si="0"/>
        <v>5</v>
      </c>
    </row>
    <row r="31" spans="1:9" ht="15.75" customHeight="1">
      <c r="A31" s="14"/>
      <c r="B31" s="27" t="s">
        <v>415</v>
      </c>
      <c r="C31" s="19">
        <v>2</v>
      </c>
      <c r="D31" s="20">
        <v>2</v>
      </c>
      <c r="E31" s="20">
        <v>0</v>
      </c>
      <c r="F31" s="20">
        <v>0</v>
      </c>
      <c r="G31" s="20">
        <v>0</v>
      </c>
      <c r="H31" s="20">
        <v>0</v>
      </c>
      <c r="I31" s="21">
        <f t="shared" si="0"/>
        <v>2</v>
      </c>
    </row>
    <row r="32" spans="1:9" ht="15.75" customHeight="1">
      <c r="A32" s="14"/>
      <c r="B32" s="27" t="s">
        <v>416</v>
      </c>
      <c r="C32" s="19">
        <v>3</v>
      </c>
      <c r="D32" s="20">
        <v>2</v>
      </c>
      <c r="E32" s="20">
        <v>0</v>
      </c>
      <c r="F32" s="20">
        <v>0</v>
      </c>
      <c r="G32" s="20">
        <v>0</v>
      </c>
      <c r="H32" s="20">
        <v>0</v>
      </c>
      <c r="I32" s="21">
        <f t="shared" si="0"/>
        <v>2</v>
      </c>
    </row>
    <row r="33" spans="1:10" ht="15.75" customHeight="1">
      <c r="A33" s="14"/>
      <c r="B33" s="27" t="s">
        <v>417</v>
      </c>
      <c r="C33" s="19">
        <v>2</v>
      </c>
      <c r="D33" s="20">
        <v>2</v>
      </c>
      <c r="E33" s="20">
        <v>0</v>
      </c>
      <c r="F33" s="20">
        <v>0</v>
      </c>
      <c r="G33" s="20">
        <v>0</v>
      </c>
      <c r="H33" s="20">
        <v>0</v>
      </c>
      <c r="I33" s="21">
        <f t="shared" si="0"/>
        <v>2</v>
      </c>
    </row>
    <row r="34" spans="1:10" ht="15.75" customHeight="1">
      <c r="A34" s="14"/>
      <c r="B34" s="27" t="s">
        <v>267</v>
      </c>
      <c r="C34" s="19">
        <v>3</v>
      </c>
      <c r="D34" s="20">
        <v>0</v>
      </c>
      <c r="E34" s="20">
        <v>0</v>
      </c>
      <c r="F34" s="20">
        <v>0</v>
      </c>
      <c r="G34" s="20">
        <v>2</v>
      </c>
      <c r="H34" s="20">
        <v>2</v>
      </c>
      <c r="I34" s="21">
        <f>SUM(D34:H34)</f>
        <v>4</v>
      </c>
      <c r="J34" s="22"/>
    </row>
    <row r="35" spans="1:10" ht="15.75" customHeight="1">
      <c r="A35" s="14"/>
      <c r="B35" s="27" t="s">
        <v>269</v>
      </c>
      <c r="C35" s="19">
        <v>2</v>
      </c>
      <c r="D35" s="20">
        <v>0</v>
      </c>
      <c r="E35" s="20">
        <v>0</v>
      </c>
      <c r="F35" s="20">
        <v>0</v>
      </c>
      <c r="G35" s="20">
        <v>2</v>
      </c>
      <c r="H35" s="20">
        <v>0</v>
      </c>
      <c r="I35" s="21">
        <f>SUM(D35:H35)</f>
        <v>2</v>
      </c>
      <c r="J35" s="22"/>
    </row>
    <row r="36" spans="1:10" ht="15.75" customHeight="1">
      <c r="B36" s="27" t="s">
        <v>271</v>
      </c>
      <c r="C36" s="19">
        <v>1</v>
      </c>
      <c r="D36" s="20">
        <v>0</v>
      </c>
      <c r="E36" s="20">
        <v>0</v>
      </c>
      <c r="F36" s="20">
        <v>0</v>
      </c>
      <c r="G36" s="20">
        <v>1</v>
      </c>
      <c r="H36" s="20">
        <v>0</v>
      </c>
      <c r="I36" s="21">
        <f>SUM(D36:H36)</f>
        <v>1</v>
      </c>
      <c r="J36" s="22"/>
    </row>
    <row r="37" spans="1:10" ht="15.75" customHeight="1">
      <c r="B37" s="27" t="s">
        <v>273</v>
      </c>
      <c r="C37" s="19">
        <v>2</v>
      </c>
      <c r="D37" s="20">
        <v>0</v>
      </c>
      <c r="E37" s="20">
        <v>0</v>
      </c>
      <c r="F37" s="20">
        <v>0</v>
      </c>
      <c r="G37" s="20">
        <v>3</v>
      </c>
      <c r="H37" s="20">
        <v>0</v>
      </c>
      <c r="I37" s="21">
        <f>SUM(D37:H37)</f>
        <v>3</v>
      </c>
      <c r="J37" s="22"/>
    </row>
    <row r="38" spans="1:10" ht="15.75" customHeight="1">
      <c r="B38" s="27" t="s">
        <v>275</v>
      </c>
      <c r="C38" s="19">
        <v>2</v>
      </c>
      <c r="D38" s="20">
        <v>0</v>
      </c>
      <c r="E38" s="20">
        <v>0</v>
      </c>
      <c r="F38" s="20">
        <v>0</v>
      </c>
      <c r="G38" s="20">
        <v>2</v>
      </c>
      <c r="H38" s="20">
        <v>0</v>
      </c>
      <c r="I38" s="21">
        <f>SUM(D38:H38)</f>
        <v>2</v>
      </c>
      <c r="J38" s="22"/>
    </row>
    <row r="39" spans="1:10" ht="15.75" customHeight="1">
      <c r="B39" s="27" t="s">
        <v>277</v>
      </c>
      <c r="C39" s="19">
        <v>2</v>
      </c>
      <c r="D39" s="20">
        <v>0</v>
      </c>
      <c r="E39" s="20">
        <v>0</v>
      </c>
      <c r="F39" s="20">
        <v>0</v>
      </c>
      <c r="G39" s="20">
        <v>2</v>
      </c>
      <c r="H39" s="20">
        <v>0</v>
      </c>
      <c r="I39" s="21">
        <f>SUM(D39:H39)</f>
        <v>2</v>
      </c>
      <c r="J39" s="22"/>
    </row>
    <row r="40" spans="1:10" ht="15.75" customHeight="1">
      <c r="B40" s="27" t="s">
        <v>279</v>
      </c>
      <c r="C40" s="19">
        <v>1</v>
      </c>
      <c r="D40" s="20">
        <v>0</v>
      </c>
      <c r="E40" s="20">
        <v>0</v>
      </c>
      <c r="F40" s="20">
        <v>0</v>
      </c>
      <c r="G40" s="20">
        <v>1</v>
      </c>
      <c r="H40" s="20">
        <v>0</v>
      </c>
      <c r="I40" s="21">
        <f>SUM(D40:H40)</f>
        <v>1</v>
      </c>
      <c r="J40" s="22"/>
    </row>
    <row r="41" spans="1:10" ht="15.75" customHeight="1">
      <c r="B41" s="27" t="s">
        <v>281</v>
      </c>
      <c r="C41" s="19">
        <v>2</v>
      </c>
      <c r="D41" s="20">
        <v>0</v>
      </c>
      <c r="E41" s="20">
        <v>0</v>
      </c>
      <c r="F41" s="20">
        <v>2</v>
      </c>
      <c r="G41" s="20">
        <v>0</v>
      </c>
      <c r="H41" s="20">
        <v>0</v>
      </c>
      <c r="I41" s="21">
        <f>SUM(D41:H41)</f>
        <v>2</v>
      </c>
      <c r="J41" s="22"/>
    </row>
    <row r="42" spans="1:10" ht="15.75" customHeight="1">
      <c r="B42" s="27" t="s">
        <v>283</v>
      </c>
      <c r="C42" s="19">
        <v>3</v>
      </c>
      <c r="D42" s="20">
        <v>0</v>
      </c>
      <c r="E42" s="20">
        <v>1</v>
      </c>
      <c r="F42" s="20">
        <v>1</v>
      </c>
      <c r="G42" s="20">
        <v>0</v>
      </c>
      <c r="H42" s="20">
        <v>0</v>
      </c>
      <c r="I42" s="21">
        <f>SUM(D42:H42)</f>
        <v>2</v>
      </c>
      <c r="J42" s="22"/>
    </row>
    <row r="43" spans="1:10" ht="15.75" customHeight="1">
      <c r="B43" s="27" t="s">
        <v>285</v>
      </c>
      <c r="C43" s="19">
        <v>4</v>
      </c>
      <c r="D43" s="20">
        <v>0</v>
      </c>
      <c r="E43" s="20">
        <v>0</v>
      </c>
      <c r="F43" s="20">
        <v>2</v>
      </c>
      <c r="G43" s="20">
        <v>0</v>
      </c>
      <c r="H43" s="20">
        <v>0</v>
      </c>
      <c r="I43" s="21">
        <f>SUM(D43:H43)</f>
        <v>2</v>
      </c>
      <c r="J43" s="22"/>
    </row>
    <row r="44" spans="1:10" ht="15.75" customHeight="1">
      <c r="B44" s="27" t="s">
        <v>287</v>
      </c>
      <c r="C44" s="19">
        <v>5</v>
      </c>
      <c r="D44" s="20">
        <v>0</v>
      </c>
      <c r="E44" s="20">
        <v>0</v>
      </c>
      <c r="F44" s="20">
        <v>1</v>
      </c>
      <c r="G44" s="20">
        <v>0</v>
      </c>
      <c r="H44" s="20">
        <v>0</v>
      </c>
      <c r="I44" s="21">
        <f>SUM(D44:H44)</f>
        <v>1</v>
      </c>
      <c r="J44" s="22"/>
    </row>
    <row r="45" spans="1:10" ht="15.75" customHeight="1">
      <c r="B45" s="27" t="s">
        <v>289</v>
      </c>
      <c r="C45" s="19">
        <v>2</v>
      </c>
      <c r="D45" s="20">
        <v>0</v>
      </c>
      <c r="E45" s="20">
        <v>0</v>
      </c>
      <c r="F45" s="20">
        <v>2</v>
      </c>
      <c r="G45" s="20">
        <v>0</v>
      </c>
      <c r="H45" s="20">
        <v>0</v>
      </c>
      <c r="I45" s="21">
        <f>SUM(D45:H45)</f>
        <v>2</v>
      </c>
      <c r="J45" s="22"/>
    </row>
    <row r="46" spans="1:10" ht="15.75" customHeight="1">
      <c r="B46" s="27" t="s">
        <v>291</v>
      </c>
      <c r="C46" s="19">
        <v>2</v>
      </c>
      <c r="D46" s="20">
        <v>0</v>
      </c>
      <c r="E46" s="20">
        <v>2</v>
      </c>
      <c r="F46" s="20">
        <v>1</v>
      </c>
      <c r="G46" s="20">
        <v>0</v>
      </c>
      <c r="H46" s="20">
        <v>0</v>
      </c>
      <c r="I46" s="21">
        <f>SUM(D46:H46)</f>
        <v>3</v>
      </c>
      <c r="J46" s="22"/>
    </row>
    <row r="47" spans="1:10" ht="15.75" customHeight="1">
      <c r="B47" s="27" t="s">
        <v>293</v>
      </c>
      <c r="C47" s="19">
        <v>2</v>
      </c>
      <c r="D47" s="20">
        <v>0</v>
      </c>
      <c r="E47" s="20">
        <v>3</v>
      </c>
      <c r="F47" s="20">
        <v>0</v>
      </c>
      <c r="G47" s="20">
        <v>0</v>
      </c>
      <c r="H47" s="20">
        <v>0</v>
      </c>
      <c r="I47" s="21">
        <f>SUM(D47:H47)</f>
        <v>3</v>
      </c>
      <c r="J47" s="22"/>
    </row>
    <row r="48" spans="1:10" ht="15.75" customHeight="1">
      <c r="B48" s="27" t="s">
        <v>295</v>
      </c>
      <c r="C48" s="19">
        <v>1</v>
      </c>
      <c r="D48" s="20">
        <v>0</v>
      </c>
      <c r="E48" s="20">
        <v>2</v>
      </c>
      <c r="F48" s="20">
        <v>0</v>
      </c>
      <c r="G48" s="20">
        <v>0</v>
      </c>
      <c r="H48" s="20">
        <v>0</v>
      </c>
      <c r="I48" s="21">
        <f>SUM(D48:H48)</f>
        <v>2</v>
      </c>
      <c r="J48" s="22"/>
    </row>
    <row r="49" spans="2:10" ht="15.75" customHeight="1">
      <c r="B49" s="27" t="s">
        <v>297</v>
      </c>
      <c r="C49" s="19">
        <v>1</v>
      </c>
      <c r="D49" s="20">
        <v>0</v>
      </c>
      <c r="E49" s="20">
        <v>1</v>
      </c>
      <c r="F49" s="20">
        <v>0</v>
      </c>
      <c r="G49" s="20">
        <v>0</v>
      </c>
      <c r="H49" s="20">
        <v>0</v>
      </c>
      <c r="I49" s="21">
        <f>SUM(D49:H49)</f>
        <v>1</v>
      </c>
      <c r="J49" s="22"/>
    </row>
    <row r="50" spans="2:10" ht="15.75" customHeight="1">
      <c r="B50" s="27" t="s">
        <v>299</v>
      </c>
      <c r="C50" s="19">
        <v>2</v>
      </c>
      <c r="D50" s="20">
        <v>0</v>
      </c>
      <c r="E50" s="20">
        <v>2</v>
      </c>
      <c r="F50" s="20">
        <v>0</v>
      </c>
      <c r="G50" s="20">
        <v>0</v>
      </c>
      <c r="H50" s="20">
        <v>0</v>
      </c>
      <c r="I50" s="21">
        <f>SUM(D50:H50)</f>
        <v>2</v>
      </c>
      <c r="J50" s="22"/>
    </row>
    <row r="51" spans="2:10" ht="15.75" customHeight="1">
      <c r="B51" s="27" t="s">
        <v>301</v>
      </c>
      <c r="C51" s="19">
        <v>3</v>
      </c>
      <c r="D51" s="20">
        <v>0</v>
      </c>
      <c r="E51" s="20">
        <v>1</v>
      </c>
      <c r="F51" s="20">
        <v>0</v>
      </c>
      <c r="G51" s="20">
        <v>0</v>
      </c>
      <c r="H51" s="20">
        <v>0</v>
      </c>
      <c r="I51" s="21">
        <f>SUM(D51:H51)</f>
        <v>1</v>
      </c>
      <c r="J51" s="22"/>
    </row>
    <row r="52" spans="2:10" ht="15.75" customHeight="1">
      <c r="B52" s="27" t="s">
        <v>303</v>
      </c>
      <c r="C52" s="19">
        <v>4</v>
      </c>
      <c r="D52" s="20">
        <v>0</v>
      </c>
      <c r="E52" s="20">
        <v>1</v>
      </c>
      <c r="F52" s="20">
        <v>0</v>
      </c>
      <c r="G52" s="20">
        <v>0</v>
      </c>
      <c r="H52" s="20">
        <v>0</v>
      </c>
      <c r="I52" s="21">
        <f>SUM(D52:H52)</f>
        <v>1</v>
      </c>
      <c r="J52" s="22"/>
    </row>
    <row r="53" spans="2:10" ht="15.75" customHeight="1">
      <c r="B53" s="27" t="s">
        <v>305</v>
      </c>
      <c r="C53" s="19">
        <v>5</v>
      </c>
      <c r="D53" s="20">
        <v>0</v>
      </c>
      <c r="E53" s="20">
        <v>1</v>
      </c>
      <c r="F53" s="20">
        <v>0</v>
      </c>
      <c r="G53" s="20">
        <v>0</v>
      </c>
      <c r="H53" s="20">
        <v>0</v>
      </c>
      <c r="I53" s="21">
        <f>SUM(D53:H53)</f>
        <v>1</v>
      </c>
      <c r="J53" s="22"/>
    </row>
    <row r="54" spans="2:10" ht="15.75" customHeight="1">
      <c r="B54" s="27" t="s">
        <v>307</v>
      </c>
      <c r="C54" s="19">
        <v>6</v>
      </c>
      <c r="D54" s="20">
        <v>0</v>
      </c>
      <c r="E54" s="20">
        <v>1</v>
      </c>
      <c r="F54" s="20">
        <v>0</v>
      </c>
      <c r="G54" s="20">
        <v>0</v>
      </c>
      <c r="H54" s="20">
        <v>0</v>
      </c>
      <c r="I54" s="21">
        <f>SUM(D54:H54)</f>
        <v>1</v>
      </c>
      <c r="J54" s="22"/>
    </row>
    <row r="55" spans="2:10" ht="15.75" customHeight="1">
      <c r="B55" s="27" t="s">
        <v>308</v>
      </c>
      <c r="C55" s="19">
        <v>2</v>
      </c>
      <c r="D55" s="20">
        <v>0</v>
      </c>
      <c r="E55" s="20">
        <v>3</v>
      </c>
      <c r="F55" s="20">
        <v>0</v>
      </c>
      <c r="G55" s="20">
        <v>0</v>
      </c>
      <c r="H55" s="20">
        <v>0</v>
      </c>
      <c r="I55" s="21">
        <f>SUM(D55:H55)</f>
        <v>3</v>
      </c>
      <c r="J55" s="22"/>
    </row>
    <row r="56" spans="2:10" ht="15.75" customHeight="1">
      <c r="B56" s="27" t="s">
        <v>310</v>
      </c>
      <c r="C56" s="19">
        <v>1</v>
      </c>
      <c r="D56" s="20">
        <v>1</v>
      </c>
      <c r="E56" s="20">
        <v>1</v>
      </c>
      <c r="F56" s="20">
        <v>0</v>
      </c>
      <c r="G56" s="20">
        <v>0</v>
      </c>
      <c r="H56" s="20">
        <v>0</v>
      </c>
      <c r="I56" s="21">
        <f>SUM(D56:H56)</f>
        <v>2</v>
      </c>
      <c r="J56" s="22"/>
    </row>
    <row r="57" spans="2:10" ht="15.75" customHeight="1">
      <c r="B57" s="27" t="s">
        <v>312</v>
      </c>
      <c r="C57" s="19">
        <v>2</v>
      </c>
      <c r="D57" s="20">
        <v>0</v>
      </c>
      <c r="E57" s="20">
        <v>2</v>
      </c>
      <c r="F57" s="20">
        <v>0</v>
      </c>
      <c r="G57" s="20">
        <v>0</v>
      </c>
      <c r="H57" s="20">
        <v>0</v>
      </c>
      <c r="I57" s="21">
        <f>SUM(D57:H57)</f>
        <v>2</v>
      </c>
      <c r="J57" s="22"/>
    </row>
    <row r="58" spans="2:10" ht="15.75" customHeight="1">
      <c r="B58" s="27" t="s">
        <v>314</v>
      </c>
      <c r="C58" s="19">
        <v>2</v>
      </c>
      <c r="D58" s="20">
        <v>0</v>
      </c>
      <c r="E58" s="20">
        <v>1</v>
      </c>
      <c r="F58" s="20">
        <v>0</v>
      </c>
      <c r="G58" s="20">
        <v>0</v>
      </c>
      <c r="H58" s="20">
        <v>0</v>
      </c>
      <c r="I58" s="21">
        <f>SUM(D58:H58)</f>
        <v>1</v>
      </c>
      <c r="J58" s="22"/>
    </row>
    <row r="59" spans="2:10" ht="15.75" customHeight="1">
      <c r="B59" s="27" t="s">
        <v>316</v>
      </c>
      <c r="C59" s="19">
        <v>3</v>
      </c>
      <c r="D59" s="20">
        <v>0</v>
      </c>
      <c r="E59" s="20">
        <v>1</v>
      </c>
      <c r="F59" s="20">
        <v>0</v>
      </c>
      <c r="G59" s="20">
        <v>0</v>
      </c>
      <c r="H59" s="20">
        <v>0</v>
      </c>
      <c r="I59" s="21">
        <f>SUM(D59:H59)</f>
        <v>1</v>
      </c>
      <c r="J59" s="22"/>
    </row>
    <row r="60" spans="2:10" ht="15.75" customHeight="1">
      <c r="B60" s="27" t="s">
        <v>318</v>
      </c>
      <c r="C60" s="19">
        <v>2</v>
      </c>
      <c r="D60" s="20">
        <v>5</v>
      </c>
      <c r="E60" s="20">
        <v>0</v>
      </c>
      <c r="F60" s="20">
        <v>0</v>
      </c>
      <c r="G60" s="20">
        <v>0</v>
      </c>
      <c r="H60" s="20">
        <v>0</v>
      </c>
      <c r="I60" s="21">
        <f>SUM(D60:H60)</f>
        <v>5</v>
      </c>
      <c r="J60" s="22"/>
    </row>
    <row r="61" spans="2:10" ht="15.75" customHeight="1">
      <c r="B61" s="27" t="s">
        <v>320</v>
      </c>
      <c r="C61" s="19">
        <v>2</v>
      </c>
      <c r="D61" s="20">
        <v>2</v>
      </c>
      <c r="E61" s="20">
        <v>0</v>
      </c>
      <c r="F61" s="20">
        <v>0</v>
      </c>
      <c r="G61" s="20">
        <v>0</v>
      </c>
      <c r="H61" s="20">
        <v>0</v>
      </c>
      <c r="I61" s="21">
        <f>SUM(D61:H61)</f>
        <v>2</v>
      </c>
      <c r="J61" s="22"/>
    </row>
    <row r="62" spans="2:10" ht="15.75" customHeight="1">
      <c r="B62" s="27" t="s">
        <v>322</v>
      </c>
      <c r="C62" s="19">
        <v>4</v>
      </c>
      <c r="D62" s="20">
        <v>2</v>
      </c>
      <c r="E62" s="20">
        <v>0</v>
      </c>
      <c r="F62" s="20">
        <v>0</v>
      </c>
      <c r="G62" s="20">
        <v>0</v>
      </c>
      <c r="H62" s="20">
        <v>0</v>
      </c>
      <c r="I62" s="21">
        <f>SUM(D62:H62)</f>
        <v>2</v>
      </c>
      <c r="J62" s="22"/>
    </row>
    <row r="63" spans="2:10" ht="15.75" customHeight="1">
      <c r="B63" s="27" t="s">
        <v>324</v>
      </c>
      <c r="C63" s="19">
        <v>5</v>
      </c>
      <c r="D63" s="20">
        <v>2</v>
      </c>
      <c r="E63" s="20">
        <v>0</v>
      </c>
      <c r="F63" s="20">
        <v>0</v>
      </c>
      <c r="G63" s="20">
        <v>0</v>
      </c>
      <c r="H63" s="20">
        <v>0</v>
      </c>
      <c r="I63" s="21">
        <f>SUM(D63:H63)</f>
        <v>2</v>
      </c>
      <c r="J63" s="22"/>
    </row>
    <row r="64" spans="2:10" ht="15.75" customHeight="1">
      <c r="B64" s="27" t="s">
        <v>326</v>
      </c>
      <c r="C64" s="19">
        <v>4</v>
      </c>
      <c r="D64" s="20">
        <v>0</v>
      </c>
      <c r="E64" s="20">
        <v>0</v>
      </c>
      <c r="F64" s="20">
        <v>0</v>
      </c>
      <c r="G64" s="20">
        <v>2</v>
      </c>
      <c r="H64" s="20">
        <v>2</v>
      </c>
      <c r="I64" s="21">
        <f>SUM(D64:H64)</f>
        <v>4</v>
      </c>
      <c r="J64" s="22"/>
    </row>
    <row r="65" spans="2:10" ht="15.75" customHeight="1">
      <c r="B65" s="27" t="s">
        <v>328</v>
      </c>
      <c r="C65" s="19">
        <v>4</v>
      </c>
      <c r="D65" s="20">
        <v>0</v>
      </c>
      <c r="E65" s="20">
        <v>0</v>
      </c>
      <c r="F65" s="20">
        <v>0</v>
      </c>
      <c r="G65" s="20">
        <v>2</v>
      </c>
      <c r="H65" s="20">
        <v>0</v>
      </c>
      <c r="I65" s="21">
        <f>SUM(D65:H65)</f>
        <v>2</v>
      </c>
      <c r="J65" s="22"/>
    </row>
    <row r="66" spans="2:10" ht="15.75" customHeight="1">
      <c r="B66" s="27" t="s">
        <v>215</v>
      </c>
      <c r="C66" s="19">
        <v>3</v>
      </c>
      <c r="D66" s="20">
        <v>0</v>
      </c>
      <c r="E66" s="20">
        <v>0</v>
      </c>
      <c r="F66" s="20">
        <v>0</v>
      </c>
      <c r="G66" s="20">
        <v>1</v>
      </c>
      <c r="H66" s="20">
        <v>0</v>
      </c>
      <c r="I66" s="21">
        <f>SUM(D66:H66)</f>
        <v>1</v>
      </c>
      <c r="J66" s="22"/>
    </row>
    <row r="67" spans="2:10" ht="15.75" customHeight="1">
      <c r="B67" s="27" t="s">
        <v>217</v>
      </c>
      <c r="C67" s="19">
        <v>2</v>
      </c>
      <c r="D67" s="20">
        <v>0</v>
      </c>
      <c r="E67" s="20">
        <v>0</v>
      </c>
      <c r="F67" s="20">
        <v>0</v>
      </c>
      <c r="G67" s="20">
        <v>3</v>
      </c>
      <c r="H67" s="20">
        <v>0</v>
      </c>
      <c r="I67" s="21">
        <f>SUM(D67:H67)</f>
        <v>3</v>
      </c>
      <c r="J67" s="22"/>
    </row>
    <row r="68" spans="2:10" ht="15.75" customHeight="1">
      <c r="B68" s="27" t="s">
        <v>219</v>
      </c>
      <c r="C68" s="19">
        <v>1</v>
      </c>
      <c r="D68" s="20">
        <v>0</v>
      </c>
      <c r="E68" s="20">
        <v>0</v>
      </c>
      <c r="F68" s="20">
        <v>0</v>
      </c>
      <c r="G68" s="20">
        <v>2</v>
      </c>
      <c r="H68" s="20">
        <v>0</v>
      </c>
      <c r="I68" s="21">
        <f>SUM(D68:H68)</f>
        <v>2</v>
      </c>
      <c r="J68" s="22"/>
    </row>
    <row r="69" spans="2:10" ht="15.75" customHeight="1">
      <c r="B69" s="27" t="s">
        <v>221</v>
      </c>
      <c r="C69" s="19">
        <v>2</v>
      </c>
      <c r="D69" s="20">
        <v>0</v>
      </c>
      <c r="E69" s="20">
        <v>0</v>
      </c>
      <c r="F69" s="20">
        <v>0</v>
      </c>
      <c r="G69" s="20">
        <v>2</v>
      </c>
      <c r="H69" s="20">
        <v>0</v>
      </c>
      <c r="I69" s="21">
        <f>SUM(D69:H69)</f>
        <v>2</v>
      </c>
      <c r="J69" s="22"/>
    </row>
    <row r="70" spans="2:10" ht="15.75" customHeight="1">
      <c r="B70" s="27" t="s">
        <v>223</v>
      </c>
      <c r="C70" s="19">
        <v>2</v>
      </c>
      <c r="D70" s="20">
        <v>0</v>
      </c>
      <c r="E70" s="20">
        <v>0</v>
      </c>
      <c r="F70" s="20">
        <v>0</v>
      </c>
      <c r="G70" s="20">
        <v>1</v>
      </c>
      <c r="H70" s="20">
        <v>0</v>
      </c>
      <c r="I70" s="21">
        <f>SUM(D70:H70)</f>
        <v>1</v>
      </c>
      <c r="J70" s="22"/>
    </row>
    <row r="71" spans="2:10" ht="15.75" customHeight="1">
      <c r="B71" s="27" t="s">
        <v>225</v>
      </c>
      <c r="C71" s="19">
        <v>2</v>
      </c>
      <c r="D71" s="20">
        <v>0</v>
      </c>
      <c r="E71" s="20">
        <v>0</v>
      </c>
      <c r="F71" s="20">
        <v>2</v>
      </c>
      <c r="G71" s="20">
        <v>0</v>
      </c>
      <c r="H71" s="20">
        <v>0</v>
      </c>
      <c r="I71" s="21">
        <f>SUM(D71:H71)</f>
        <v>2</v>
      </c>
      <c r="J71" s="22"/>
    </row>
    <row r="72" spans="2:10" ht="15.75" customHeight="1">
      <c r="B72" s="27" t="s">
        <v>227</v>
      </c>
      <c r="C72" s="19">
        <v>2</v>
      </c>
      <c r="D72" s="20">
        <v>0</v>
      </c>
      <c r="E72" s="20">
        <v>1</v>
      </c>
      <c r="F72" s="20">
        <v>1</v>
      </c>
      <c r="G72" s="20">
        <v>0</v>
      </c>
      <c r="H72" s="20">
        <v>0</v>
      </c>
      <c r="I72" s="21">
        <f>SUM(D72:H72)</f>
        <v>2</v>
      </c>
      <c r="J72" s="22"/>
    </row>
    <row r="73" spans="2:10" ht="15.75" customHeight="1">
      <c r="B73" s="27" t="s">
        <v>229</v>
      </c>
      <c r="C73" s="19">
        <v>2</v>
      </c>
      <c r="D73" s="20">
        <v>0</v>
      </c>
      <c r="E73" s="20">
        <v>0</v>
      </c>
      <c r="F73" s="20">
        <v>2</v>
      </c>
      <c r="G73" s="20">
        <v>0</v>
      </c>
      <c r="H73" s="20">
        <v>0</v>
      </c>
      <c r="I73" s="21">
        <f>SUM(D73:H73)</f>
        <v>2</v>
      </c>
      <c r="J73" s="22"/>
    </row>
    <row r="74" spans="2:10" ht="15.75" customHeight="1">
      <c r="B74" s="27" t="s">
        <v>231</v>
      </c>
      <c r="C74" s="19">
        <v>2</v>
      </c>
      <c r="D74" s="20">
        <v>0</v>
      </c>
      <c r="E74" s="20">
        <v>0</v>
      </c>
      <c r="F74" s="20">
        <v>1</v>
      </c>
      <c r="G74" s="20">
        <v>0</v>
      </c>
      <c r="H74" s="20">
        <v>0</v>
      </c>
      <c r="I74" s="21">
        <f>SUM(D74:H74)</f>
        <v>1</v>
      </c>
      <c r="J74" s="22"/>
    </row>
    <row r="75" spans="2:10" ht="15.75" customHeight="1">
      <c r="B75" s="27" t="s">
        <v>233</v>
      </c>
      <c r="C75" s="19">
        <v>1</v>
      </c>
      <c r="D75" s="20">
        <v>0</v>
      </c>
      <c r="E75" s="20">
        <v>0</v>
      </c>
      <c r="F75" s="20">
        <v>2</v>
      </c>
      <c r="G75" s="20">
        <v>0</v>
      </c>
      <c r="H75" s="20">
        <v>0</v>
      </c>
      <c r="I75" s="21">
        <f>SUM(D75:H75)</f>
        <v>2</v>
      </c>
      <c r="J75" s="22"/>
    </row>
    <row r="76" spans="2:10" ht="15.75" customHeight="1">
      <c r="B76" s="27" t="s">
        <v>235</v>
      </c>
      <c r="C76" s="19">
        <v>1</v>
      </c>
      <c r="D76" s="20">
        <v>0</v>
      </c>
      <c r="E76" s="20">
        <v>2</v>
      </c>
      <c r="F76" s="20">
        <v>1</v>
      </c>
      <c r="G76" s="20">
        <v>0</v>
      </c>
      <c r="H76" s="20">
        <v>0</v>
      </c>
      <c r="I76" s="21">
        <f>SUM(D76:H76)</f>
        <v>3</v>
      </c>
      <c r="J76" s="22"/>
    </row>
    <row r="77" spans="2:10" ht="15.75" customHeight="1">
      <c r="B77" s="27" t="s">
        <v>237</v>
      </c>
      <c r="C77" s="19">
        <v>2</v>
      </c>
      <c r="D77" s="20">
        <v>0</v>
      </c>
      <c r="E77" s="20">
        <v>3</v>
      </c>
      <c r="F77" s="20">
        <v>0</v>
      </c>
      <c r="G77" s="20">
        <v>0</v>
      </c>
      <c r="H77" s="20">
        <v>0</v>
      </c>
      <c r="I77" s="21">
        <f>SUM(D77:H77)</f>
        <v>3</v>
      </c>
      <c r="J77" s="22"/>
    </row>
    <row r="78" spans="2:10" ht="15.75" customHeight="1">
      <c r="B78" s="27" t="s">
        <v>239</v>
      </c>
      <c r="C78" s="19">
        <v>3</v>
      </c>
      <c r="D78" s="20">
        <v>0</v>
      </c>
      <c r="E78" s="20">
        <v>2</v>
      </c>
      <c r="F78" s="20">
        <v>0</v>
      </c>
      <c r="G78" s="20">
        <v>0</v>
      </c>
      <c r="H78" s="20">
        <v>0</v>
      </c>
      <c r="I78" s="21">
        <f>SUM(D78:H78)</f>
        <v>2</v>
      </c>
      <c r="J78" s="22"/>
    </row>
    <row r="79" spans="2:10" ht="15.75" customHeight="1">
      <c r="B79" s="27" t="s">
        <v>241</v>
      </c>
      <c r="C79" s="19">
        <v>3</v>
      </c>
      <c r="D79" s="20">
        <v>0</v>
      </c>
      <c r="E79" s="20">
        <v>1</v>
      </c>
      <c r="F79" s="20">
        <v>0</v>
      </c>
      <c r="G79" s="20">
        <v>0</v>
      </c>
      <c r="H79" s="20">
        <v>0</v>
      </c>
      <c r="I79" s="21">
        <f>SUM(D79:H79)</f>
        <v>1</v>
      </c>
      <c r="J79" s="22"/>
    </row>
    <row r="80" spans="2:10" ht="15.75" customHeight="1">
      <c r="B80" s="27" t="s">
        <v>243</v>
      </c>
      <c r="C80" s="19">
        <v>3</v>
      </c>
      <c r="D80" s="20">
        <v>0</v>
      </c>
      <c r="E80" s="20">
        <v>2</v>
      </c>
      <c r="F80" s="20">
        <v>0</v>
      </c>
      <c r="G80" s="20">
        <v>0</v>
      </c>
      <c r="H80" s="20">
        <v>0</v>
      </c>
      <c r="I80" s="21">
        <f>SUM(D80:H80)</f>
        <v>2</v>
      </c>
      <c r="J80" s="22"/>
    </row>
    <row r="81" spans="2:10" ht="15.75" customHeight="1">
      <c r="B81" s="27" t="s">
        <v>245</v>
      </c>
      <c r="C81" s="19">
        <v>3</v>
      </c>
      <c r="D81" s="20">
        <v>0</v>
      </c>
      <c r="E81" s="20">
        <v>1</v>
      </c>
      <c r="F81" s="20">
        <v>0</v>
      </c>
      <c r="G81" s="20">
        <v>0</v>
      </c>
      <c r="H81" s="20">
        <v>0</v>
      </c>
      <c r="I81" s="21">
        <f>SUM(D81:H81)</f>
        <v>1</v>
      </c>
      <c r="J81" s="22"/>
    </row>
    <row r="82" spans="2:10" ht="15.75" customHeight="1">
      <c r="B82" s="27" t="s">
        <v>247</v>
      </c>
      <c r="C82" s="19">
        <v>3</v>
      </c>
      <c r="D82" s="20">
        <v>0</v>
      </c>
      <c r="E82" s="20">
        <v>1</v>
      </c>
      <c r="F82" s="20">
        <v>0</v>
      </c>
      <c r="G82" s="20">
        <v>0</v>
      </c>
      <c r="H82" s="20">
        <v>0</v>
      </c>
      <c r="I82" s="21">
        <f>SUM(D82:H82)</f>
        <v>1</v>
      </c>
      <c r="J82" s="22"/>
    </row>
    <row r="83" spans="2:10" ht="15.75" customHeight="1">
      <c r="B83" s="27" t="s">
        <v>249</v>
      </c>
      <c r="C83" s="19">
        <v>2</v>
      </c>
      <c r="D83" s="20">
        <v>0</v>
      </c>
      <c r="E83" s="20">
        <v>1</v>
      </c>
      <c r="F83" s="20">
        <v>0</v>
      </c>
      <c r="G83" s="20">
        <v>0</v>
      </c>
      <c r="H83" s="20">
        <v>0</v>
      </c>
      <c r="I83" s="21">
        <f>SUM(D83:H83)</f>
        <v>1</v>
      </c>
      <c r="J83" s="22"/>
    </row>
    <row r="84" spans="2:10" ht="15.75" customHeight="1">
      <c r="B84" s="27" t="s">
        <v>251</v>
      </c>
      <c r="C84" s="19">
        <v>3</v>
      </c>
      <c r="D84" s="20">
        <v>0</v>
      </c>
      <c r="E84" s="20">
        <v>1</v>
      </c>
      <c r="F84" s="20">
        <v>0</v>
      </c>
      <c r="G84" s="20">
        <v>0</v>
      </c>
      <c r="H84" s="20">
        <v>0</v>
      </c>
      <c r="I84" s="21">
        <f>SUM(D84:H84)</f>
        <v>1</v>
      </c>
      <c r="J84" s="22"/>
    </row>
    <row r="85" spans="2:10" ht="15.75" customHeight="1">
      <c r="B85" s="27" t="s">
        <v>253</v>
      </c>
      <c r="C85" s="19">
        <v>2</v>
      </c>
      <c r="D85" s="20">
        <v>0</v>
      </c>
      <c r="E85" s="20">
        <v>3</v>
      </c>
      <c r="F85" s="20">
        <v>0</v>
      </c>
      <c r="G85" s="20">
        <v>0</v>
      </c>
      <c r="H85" s="20">
        <v>0</v>
      </c>
      <c r="I85" s="21">
        <f>SUM(D85:H85)</f>
        <v>3</v>
      </c>
      <c r="J85" s="22"/>
    </row>
    <row r="86" spans="2:10" ht="15.75" customHeight="1">
      <c r="B86" s="27" t="s">
        <v>255</v>
      </c>
      <c r="C86" s="19">
        <v>2</v>
      </c>
      <c r="D86" s="20">
        <v>1</v>
      </c>
      <c r="E86" s="20">
        <v>1</v>
      </c>
      <c r="F86" s="20">
        <v>0</v>
      </c>
      <c r="G86" s="20">
        <v>0</v>
      </c>
      <c r="H86" s="20">
        <v>0</v>
      </c>
      <c r="I86" s="21">
        <f>SUM(D86:H86)</f>
        <v>2</v>
      </c>
      <c r="J86" s="22"/>
    </row>
    <row r="87" spans="2:10" ht="15.75" customHeight="1">
      <c r="B87" s="27" t="s">
        <v>257</v>
      </c>
      <c r="C87" s="19">
        <v>2</v>
      </c>
      <c r="D87" s="20">
        <v>0</v>
      </c>
      <c r="E87" s="20">
        <v>2</v>
      </c>
      <c r="F87" s="20">
        <v>0</v>
      </c>
      <c r="G87" s="20">
        <v>0</v>
      </c>
      <c r="H87" s="20">
        <v>0</v>
      </c>
      <c r="I87" s="21">
        <f>SUM(D87:H87)</f>
        <v>2</v>
      </c>
      <c r="J87" s="22"/>
    </row>
    <row r="88" spans="2:10" ht="15.75" customHeight="1">
      <c r="B88" s="27" t="s">
        <v>259</v>
      </c>
      <c r="C88" s="19">
        <v>3</v>
      </c>
      <c r="D88" s="20">
        <v>0</v>
      </c>
      <c r="E88" s="20">
        <v>1</v>
      </c>
      <c r="F88" s="20">
        <v>0</v>
      </c>
      <c r="G88" s="20">
        <v>0</v>
      </c>
      <c r="H88" s="20">
        <v>0</v>
      </c>
      <c r="I88" s="21">
        <f>SUM(D88:H88)</f>
        <v>1</v>
      </c>
      <c r="J88" s="22"/>
    </row>
    <row r="89" spans="2:10" ht="15.75" customHeight="1">
      <c r="B89" s="27" t="s">
        <v>261</v>
      </c>
      <c r="C89" s="19">
        <v>2</v>
      </c>
      <c r="D89" s="20">
        <v>0</v>
      </c>
      <c r="E89" s="20">
        <v>1</v>
      </c>
      <c r="F89" s="20">
        <v>0</v>
      </c>
      <c r="G89" s="20">
        <v>0</v>
      </c>
      <c r="H89" s="20">
        <v>0</v>
      </c>
      <c r="I89" s="21">
        <f>SUM(D89:H89)</f>
        <v>1</v>
      </c>
      <c r="J89" s="22"/>
    </row>
    <row r="90" spans="2:10" ht="15.75" customHeight="1">
      <c r="B90" s="27" t="s">
        <v>263</v>
      </c>
      <c r="C90" s="19">
        <v>3</v>
      </c>
      <c r="D90" s="20">
        <v>5</v>
      </c>
      <c r="E90" s="20">
        <v>0</v>
      </c>
      <c r="F90" s="20">
        <v>0</v>
      </c>
      <c r="G90" s="20">
        <v>0</v>
      </c>
      <c r="H90" s="20">
        <v>0</v>
      </c>
      <c r="I90" s="21">
        <f>SUM(D90:H90)</f>
        <v>5</v>
      </c>
      <c r="J90" s="22"/>
    </row>
    <row r="91" spans="2:10" ht="15.75" customHeight="1">
      <c r="B91" s="27" t="s">
        <v>265</v>
      </c>
      <c r="C91" s="19">
        <v>2</v>
      </c>
      <c r="D91" s="20">
        <v>2</v>
      </c>
      <c r="E91" s="20">
        <v>0</v>
      </c>
      <c r="F91" s="20">
        <v>0</v>
      </c>
      <c r="G91" s="20">
        <v>0</v>
      </c>
      <c r="H91" s="20">
        <v>0</v>
      </c>
      <c r="I91" s="21">
        <f>SUM(D91:H91)</f>
        <v>2</v>
      </c>
      <c r="J91" s="22"/>
    </row>
    <row r="92" spans="2:10" ht="15.75" customHeight="1">
      <c r="B92" s="27" t="s">
        <v>154</v>
      </c>
      <c r="C92" s="19">
        <v>3</v>
      </c>
      <c r="D92" s="20">
        <v>2</v>
      </c>
      <c r="E92" s="20">
        <v>0</v>
      </c>
      <c r="F92" s="20">
        <v>0</v>
      </c>
      <c r="G92" s="20">
        <v>0</v>
      </c>
      <c r="H92" s="20">
        <v>0</v>
      </c>
      <c r="I92" s="21">
        <f>SUM(D92:H92)</f>
        <v>2</v>
      </c>
      <c r="J92" s="22"/>
    </row>
    <row r="93" spans="2:10" ht="15.75" customHeight="1">
      <c r="B93" s="27" t="s">
        <v>157</v>
      </c>
      <c r="C93" s="19">
        <v>2</v>
      </c>
      <c r="D93" s="20">
        <v>2</v>
      </c>
      <c r="E93" s="20">
        <v>0</v>
      </c>
      <c r="F93" s="20">
        <v>0</v>
      </c>
      <c r="G93" s="20">
        <v>0</v>
      </c>
      <c r="H93" s="20">
        <v>0</v>
      </c>
      <c r="I93" s="21">
        <f>SUM(D93:H93)</f>
        <v>2</v>
      </c>
      <c r="J93" s="22"/>
    </row>
    <row r="94" spans="2:10" ht="15.75" customHeight="1">
      <c r="B94" s="27" t="s">
        <v>159</v>
      </c>
      <c r="C94" s="19">
        <v>1</v>
      </c>
      <c r="D94" s="20">
        <v>0</v>
      </c>
      <c r="E94" s="20">
        <v>0</v>
      </c>
      <c r="F94" s="20">
        <v>0</v>
      </c>
      <c r="G94" s="20">
        <v>3</v>
      </c>
      <c r="H94" s="20">
        <v>0</v>
      </c>
      <c r="I94" s="21">
        <f>SUM(D94:H94)</f>
        <v>3</v>
      </c>
      <c r="J94" s="22"/>
    </row>
    <row r="95" spans="2:10" ht="15.75" customHeight="1">
      <c r="B95" s="27" t="s">
        <v>161</v>
      </c>
      <c r="C95" s="19">
        <v>2</v>
      </c>
      <c r="D95" s="20">
        <v>0</v>
      </c>
      <c r="E95" s="20">
        <v>0</v>
      </c>
      <c r="F95" s="20">
        <v>0</v>
      </c>
      <c r="G95" s="20">
        <v>2</v>
      </c>
      <c r="H95" s="20">
        <v>0</v>
      </c>
      <c r="I95" s="21">
        <f>SUM(D95:H95)</f>
        <v>2</v>
      </c>
      <c r="J95" s="22"/>
    </row>
    <row r="96" spans="2:10" ht="15.75" customHeight="1">
      <c r="B96" s="27" t="s">
        <v>164</v>
      </c>
      <c r="C96" s="19">
        <v>2</v>
      </c>
      <c r="D96" s="20">
        <v>0</v>
      </c>
      <c r="E96" s="20">
        <v>0</v>
      </c>
      <c r="F96" s="20">
        <v>0</v>
      </c>
      <c r="G96" s="20">
        <v>2</v>
      </c>
      <c r="H96" s="20">
        <v>0</v>
      </c>
      <c r="I96" s="21">
        <f>SUM(D96:H96)</f>
        <v>2</v>
      </c>
      <c r="J96" s="22"/>
    </row>
    <row r="97" spans="2:10" ht="15.75" customHeight="1">
      <c r="B97" s="27" t="s">
        <v>166</v>
      </c>
      <c r="C97" s="19">
        <v>2</v>
      </c>
      <c r="D97" s="20">
        <v>0</v>
      </c>
      <c r="E97" s="20">
        <v>0</v>
      </c>
      <c r="F97" s="20">
        <v>0</v>
      </c>
      <c r="G97" s="20">
        <v>1</v>
      </c>
      <c r="H97" s="20">
        <v>0</v>
      </c>
      <c r="I97" s="21">
        <f>SUM(D97:H97)</f>
        <v>1</v>
      </c>
      <c r="J97" s="22"/>
    </row>
    <row r="98" spans="2:10" ht="15.75" customHeight="1">
      <c r="B98" s="27" t="s">
        <v>168</v>
      </c>
      <c r="C98" s="19">
        <v>2</v>
      </c>
      <c r="D98" s="20">
        <v>0</v>
      </c>
      <c r="E98" s="20">
        <v>0</v>
      </c>
      <c r="F98" s="20">
        <v>2</v>
      </c>
      <c r="G98" s="20">
        <v>0</v>
      </c>
      <c r="H98" s="20">
        <v>0</v>
      </c>
      <c r="I98" s="21">
        <f>SUM(D98:H98)</f>
        <v>2</v>
      </c>
      <c r="J98" s="22"/>
    </row>
    <row r="99" spans="2:10" ht="15.75" customHeight="1">
      <c r="B99" s="27" t="s">
        <v>170</v>
      </c>
      <c r="C99" s="19">
        <v>2</v>
      </c>
      <c r="D99" s="20">
        <v>0</v>
      </c>
      <c r="E99" s="20">
        <v>1</v>
      </c>
      <c r="F99" s="20">
        <v>1</v>
      </c>
      <c r="G99" s="20">
        <v>0</v>
      </c>
      <c r="H99" s="20">
        <v>0</v>
      </c>
      <c r="I99" s="21">
        <f>SUM(D99:H99)</f>
        <v>2</v>
      </c>
      <c r="J99" s="22"/>
    </row>
    <row r="100" spans="2:10" ht="15.75" customHeight="1">
      <c r="B100" s="27" t="s">
        <v>172</v>
      </c>
      <c r="C100" s="19">
        <v>2</v>
      </c>
      <c r="D100" s="20">
        <v>0</v>
      </c>
      <c r="E100" s="20">
        <v>0</v>
      </c>
      <c r="F100" s="20">
        <v>2</v>
      </c>
      <c r="G100" s="20">
        <v>0</v>
      </c>
      <c r="H100" s="20">
        <v>0</v>
      </c>
      <c r="I100" s="21">
        <f>SUM(D100:H100)</f>
        <v>2</v>
      </c>
      <c r="J100" s="22"/>
    </row>
    <row r="101" spans="2:10" ht="15.75" customHeight="1">
      <c r="B101" s="27" t="s">
        <v>174</v>
      </c>
      <c r="C101" s="19">
        <v>1</v>
      </c>
      <c r="D101" s="20">
        <v>0</v>
      </c>
      <c r="E101" s="20">
        <v>0</v>
      </c>
      <c r="F101" s="20">
        <v>1</v>
      </c>
      <c r="G101" s="20">
        <v>0</v>
      </c>
      <c r="H101" s="20">
        <v>0</v>
      </c>
      <c r="I101" s="21">
        <f>SUM(D101:H101)</f>
        <v>1</v>
      </c>
      <c r="J101" s="22"/>
    </row>
    <row r="102" spans="2:10" ht="15.75" customHeight="1">
      <c r="B102" s="27" t="s">
        <v>176</v>
      </c>
      <c r="C102" s="19">
        <v>1</v>
      </c>
      <c r="D102" s="20">
        <v>0</v>
      </c>
      <c r="E102" s="20">
        <v>0</v>
      </c>
      <c r="F102" s="20">
        <v>2</v>
      </c>
      <c r="G102" s="20">
        <v>0</v>
      </c>
      <c r="H102" s="20">
        <v>0</v>
      </c>
      <c r="I102" s="21">
        <f>SUM(D102:H102)</f>
        <v>2</v>
      </c>
      <c r="J102" s="22"/>
    </row>
    <row r="103" spans="2:10" ht="15.75" customHeight="1">
      <c r="B103" s="27" t="s">
        <v>178</v>
      </c>
      <c r="C103" s="19">
        <v>3</v>
      </c>
      <c r="D103" s="20">
        <v>0</v>
      </c>
      <c r="E103" s="20">
        <v>2</v>
      </c>
      <c r="F103" s="20">
        <v>1</v>
      </c>
      <c r="G103" s="20">
        <v>0</v>
      </c>
      <c r="H103" s="20">
        <v>0</v>
      </c>
      <c r="I103" s="21">
        <f>SUM(D103:H103)</f>
        <v>3</v>
      </c>
      <c r="J103" s="22"/>
    </row>
    <row r="104" spans="2:10" ht="15.75" customHeight="1">
      <c r="B104" s="27" t="s">
        <v>180</v>
      </c>
      <c r="C104" s="19">
        <v>3</v>
      </c>
      <c r="D104" s="20">
        <v>0</v>
      </c>
      <c r="E104" s="20">
        <v>3</v>
      </c>
      <c r="F104" s="20">
        <v>0</v>
      </c>
      <c r="G104" s="20">
        <v>0</v>
      </c>
      <c r="H104" s="20">
        <v>0</v>
      </c>
      <c r="I104" s="21">
        <f>SUM(D104:H104)</f>
        <v>3</v>
      </c>
      <c r="J104" s="22"/>
    </row>
    <row r="105" spans="2:10" ht="15.75" customHeight="1">
      <c r="B105" s="27" t="s">
        <v>182</v>
      </c>
      <c r="C105" s="19">
        <v>3</v>
      </c>
      <c r="D105" s="20">
        <v>0</v>
      </c>
      <c r="E105" s="20">
        <v>2</v>
      </c>
      <c r="F105" s="20">
        <v>0</v>
      </c>
      <c r="G105" s="20">
        <v>0</v>
      </c>
      <c r="H105" s="20">
        <v>0</v>
      </c>
      <c r="I105" s="21">
        <f>SUM(D105:H105)</f>
        <v>2</v>
      </c>
      <c r="J105" s="22"/>
    </row>
    <row r="106" spans="2:10" ht="15.75" customHeight="1">
      <c r="B106" s="27" t="s">
        <v>184</v>
      </c>
      <c r="C106" s="19">
        <v>3</v>
      </c>
      <c r="D106" s="20">
        <v>0</v>
      </c>
      <c r="E106" s="20">
        <v>1</v>
      </c>
      <c r="F106" s="20">
        <v>0</v>
      </c>
      <c r="G106" s="20">
        <v>0</v>
      </c>
      <c r="H106" s="20">
        <v>0</v>
      </c>
      <c r="I106" s="21">
        <f>SUM(D106:H106)</f>
        <v>1</v>
      </c>
      <c r="J106" s="22"/>
    </row>
    <row r="107" spans="2:10" ht="15.75" customHeight="1">
      <c r="B107" s="27" t="s">
        <v>186</v>
      </c>
      <c r="C107" s="19">
        <v>3</v>
      </c>
      <c r="D107" s="20">
        <v>0</v>
      </c>
      <c r="E107" s="20">
        <v>2</v>
      </c>
      <c r="F107" s="20">
        <v>0</v>
      </c>
      <c r="G107" s="20">
        <v>0</v>
      </c>
      <c r="H107" s="20">
        <v>0</v>
      </c>
      <c r="I107" s="21">
        <f>SUM(D107:H107)</f>
        <v>2</v>
      </c>
      <c r="J107" s="22"/>
    </row>
    <row r="108" spans="2:10" ht="15.75" customHeight="1">
      <c r="B108" s="27" t="s">
        <v>188</v>
      </c>
      <c r="C108" s="19">
        <v>2</v>
      </c>
      <c r="D108" s="20">
        <v>0</v>
      </c>
      <c r="E108" s="20">
        <v>1</v>
      </c>
      <c r="F108" s="20">
        <v>0</v>
      </c>
      <c r="G108" s="20">
        <v>0</v>
      </c>
      <c r="H108" s="20">
        <v>0</v>
      </c>
      <c r="I108" s="21">
        <f>SUM(D108:H108)</f>
        <v>1</v>
      </c>
      <c r="J108" s="22"/>
    </row>
    <row r="109" spans="2:10" ht="15.75" customHeight="1">
      <c r="B109" s="27" t="s">
        <v>190</v>
      </c>
      <c r="C109" s="19">
        <v>2</v>
      </c>
      <c r="D109" s="20">
        <v>0</v>
      </c>
      <c r="E109" s="20">
        <v>1</v>
      </c>
      <c r="F109" s="20">
        <v>0</v>
      </c>
      <c r="G109" s="20">
        <v>0</v>
      </c>
      <c r="H109" s="20">
        <v>0</v>
      </c>
      <c r="I109" s="21">
        <f>SUM(D109:H109)</f>
        <v>1</v>
      </c>
      <c r="J109" s="22"/>
    </row>
    <row r="110" spans="2:10" ht="15.75" customHeight="1">
      <c r="B110" s="27" t="s">
        <v>192</v>
      </c>
      <c r="C110" s="19">
        <v>2</v>
      </c>
      <c r="D110" s="20">
        <v>0</v>
      </c>
      <c r="E110" s="20">
        <v>1</v>
      </c>
      <c r="F110" s="20">
        <v>0</v>
      </c>
      <c r="G110" s="20">
        <v>0</v>
      </c>
      <c r="H110" s="20">
        <v>0</v>
      </c>
      <c r="I110" s="21">
        <f>SUM(D110:H110)</f>
        <v>1</v>
      </c>
      <c r="J110" s="22"/>
    </row>
    <row r="111" spans="2:10" ht="15.75" customHeight="1">
      <c r="B111" s="27" t="s">
        <v>194</v>
      </c>
      <c r="C111" s="19">
        <v>2</v>
      </c>
      <c r="D111" s="20">
        <v>0</v>
      </c>
      <c r="E111" s="20">
        <v>1</v>
      </c>
      <c r="F111" s="20">
        <v>0</v>
      </c>
      <c r="G111" s="20">
        <v>0</v>
      </c>
      <c r="H111" s="20">
        <v>0</v>
      </c>
      <c r="I111" s="21">
        <f>SUM(D111:H111)</f>
        <v>1</v>
      </c>
      <c r="J111" s="22"/>
    </row>
    <row r="112" spans="2:10" ht="15.75" customHeight="1">
      <c r="B112" s="27" t="s">
        <v>196</v>
      </c>
      <c r="C112" s="19">
        <v>3</v>
      </c>
      <c r="D112" s="20">
        <v>0</v>
      </c>
      <c r="E112" s="20">
        <v>3</v>
      </c>
      <c r="F112" s="20">
        <v>0</v>
      </c>
      <c r="G112" s="20">
        <v>0</v>
      </c>
      <c r="H112" s="20">
        <v>0</v>
      </c>
      <c r="I112" s="21">
        <f>SUM(D112:H112)</f>
        <v>3</v>
      </c>
      <c r="J112" s="22"/>
    </row>
    <row r="113" spans="2:10" ht="15.75" customHeight="1">
      <c r="B113" s="27" t="s">
        <v>198</v>
      </c>
      <c r="C113" s="19">
        <v>2</v>
      </c>
      <c r="D113" s="20">
        <v>1</v>
      </c>
      <c r="E113" s="20">
        <v>1</v>
      </c>
      <c r="F113" s="20">
        <v>0</v>
      </c>
      <c r="G113" s="20">
        <v>0</v>
      </c>
      <c r="H113" s="20">
        <v>0</v>
      </c>
      <c r="I113" s="21">
        <f>SUM(D113:H113)</f>
        <v>2</v>
      </c>
      <c r="J113" s="22"/>
    </row>
    <row r="114" spans="2:10" ht="15.75" customHeight="1">
      <c r="B114" s="27" t="s">
        <v>200</v>
      </c>
      <c r="C114" s="19">
        <v>3</v>
      </c>
      <c r="D114" s="20">
        <v>0</v>
      </c>
      <c r="E114" s="20">
        <v>2</v>
      </c>
      <c r="F114" s="20">
        <v>0</v>
      </c>
      <c r="G114" s="20">
        <v>0</v>
      </c>
      <c r="H114" s="20">
        <v>0</v>
      </c>
      <c r="I114" s="21">
        <f>SUM(D114:H114)</f>
        <v>2</v>
      </c>
      <c r="J114" s="22"/>
    </row>
    <row r="115" spans="2:10" ht="15.75" customHeight="1">
      <c r="B115" s="27" t="s">
        <v>202</v>
      </c>
      <c r="C115" s="28">
        <v>2</v>
      </c>
      <c r="D115" s="20">
        <v>0</v>
      </c>
      <c r="E115" s="20">
        <v>1</v>
      </c>
      <c r="F115" s="20">
        <v>0</v>
      </c>
      <c r="G115" s="20">
        <v>0</v>
      </c>
      <c r="H115" s="20">
        <v>0</v>
      </c>
      <c r="I115" s="21">
        <f>SUM(D115:H115)</f>
        <v>1</v>
      </c>
      <c r="J115" s="22"/>
    </row>
    <row r="116" spans="2:10" ht="15.75" customHeight="1">
      <c r="B116" s="27" t="s">
        <v>204</v>
      </c>
      <c r="C116" s="28">
        <v>4</v>
      </c>
      <c r="D116" s="20">
        <v>0</v>
      </c>
      <c r="E116" s="20">
        <v>1</v>
      </c>
      <c r="F116" s="20">
        <v>0</v>
      </c>
      <c r="G116" s="20">
        <v>0</v>
      </c>
      <c r="H116" s="20">
        <v>0</v>
      </c>
      <c r="I116" s="21">
        <f>SUM(D116:H116)</f>
        <v>1</v>
      </c>
      <c r="J116" s="22"/>
    </row>
    <row r="117" spans="2:10" ht="15.75" customHeight="1">
      <c r="B117" s="27" t="s">
        <v>206</v>
      </c>
      <c r="C117" s="28">
        <v>2</v>
      </c>
      <c r="D117" s="20">
        <v>5</v>
      </c>
      <c r="E117" s="20">
        <v>0</v>
      </c>
      <c r="F117" s="20">
        <v>0</v>
      </c>
      <c r="G117" s="20">
        <v>0</v>
      </c>
      <c r="H117" s="20">
        <v>0</v>
      </c>
      <c r="I117" s="21">
        <f>SUM(D117:H117)</f>
        <v>5</v>
      </c>
      <c r="J117" s="22"/>
    </row>
    <row r="118" spans="2:10" ht="15.75" customHeight="1">
      <c r="B118" s="27" t="s">
        <v>208</v>
      </c>
      <c r="C118" s="28">
        <v>3</v>
      </c>
      <c r="D118" s="20">
        <v>2</v>
      </c>
      <c r="E118" s="20">
        <v>0</v>
      </c>
      <c r="F118" s="20">
        <v>0</v>
      </c>
      <c r="G118" s="20">
        <v>0</v>
      </c>
      <c r="H118" s="20">
        <v>0</v>
      </c>
      <c r="I118" s="21">
        <f>SUM(D118:H118)</f>
        <v>2</v>
      </c>
      <c r="J118" s="22"/>
    </row>
    <row r="119" spans="2:10" ht="15.75" customHeight="1">
      <c r="B119" s="27" t="s">
        <v>210</v>
      </c>
      <c r="C119" s="28">
        <v>2</v>
      </c>
      <c r="D119" s="20">
        <v>2</v>
      </c>
      <c r="E119" s="20">
        <v>0</v>
      </c>
      <c r="F119" s="20">
        <v>0</v>
      </c>
      <c r="G119" s="20">
        <v>0</v>
      </c>
      <c r="H119" s="20">
        <v>0</v>
      </c>
      <c r="I119" s="21">
        <f>SUM(D119:H119)</f>
        <v>2</v>
      </c>
      <c r="J119" s="22"/>
    </row>
    <row r="120" spans="2:10" ht="15.75" customHeight="1">
      <c r="B120" s="27" t="s">
        <v>212</v>
      </c>
      <c r="C120" s="28">
        <v>3</v>
      </c>
      <c r="D120" s="20">
        <v>2</v>
      </c>
      <c r="E120" s="20">
        <v>0</v>
      </c>
      <c r="F120" s="20">
        <v>0</v>
      </c>
      <c r="G120" s="20">
        <v>0</v>
      </c>
      <c r="H120" s="20">
        <v>0</v>
      </c>
      <c r="I120" s="21">
        <f>SUM(D120:H120)</f>
        <v>2</v>
      </c>
      <c r="J120" s="22">
        <f>SUM(I4:I120)</f>
        <v>229</v>
      </c>
    </row>
    <row r="121" spans="2:10" ht="15.75" customHeight="1">
      <c r="B121" s="14"/>
    </row>
    <row r="122" spans="2:10" ht="15.75" customHeight="1">
      <c r="B122" s="4" t="s">
        <v>418</v>
      </c>
      <c r="C122" s="3">
        <f>SUM(C4:C120)</f>
        <v>278</v>
      </c>
      <c r="D122" s="3">
        <f>C122-SUM(D4:D120)</f>
        <v>230</v>
      </c>
      <c r="E122" s="3">
        <f>D122-SUM(E4:E120)</f>
        <v>138</v>
      </c>
      <c r="F122" s="3">
        <f>E122-SUM(F4:F120)</f>
        <v>102</v>
      </c>
      <c r="G122" s="3">
        <f>F122-SUM(G4:G120)</f>
        <v>55</v>
      </c>
      <c r="H122" s="3">
        <f>G122-SUM(H4:H120)</f>
        <v>49</v>
      </c>
    </row>
    <row r="123" spans="2:10" ht="15.75" customHeight="1">
      <c r="B123" s="4" t="s">
        <v>419</v>
      </c>
      <c r="C123" s="3">
        <f>SUM(C4:C120)</f>
        <v>278</v>
      </c>
      <c r="D123" s="3">
        <f>C123-(SUM(C4:C120)/5)</f>
        <v>222.4</v>
      </c>
      <c r="E123" s="3">
        <f>D123-(SUM(C4:C120)/5)</f>
        <v>166.8</v>
      </c>
      <c r="F123" s="3">
        <f>E123-(SUM(C4:C120)/5)</f>
        <v>111.20000000000002</v>
      </c>
      <c r="G123" s="3">
        <f>F123-(SUM(C4:C120)/5)</f>
        <v>55.600000000000016</v>
      </c>
      <c r="H123" s="3">
        <f>G123-(SUM(C4:C120)/5)</f>
        <v>0</v>
      </c>
    </row>
    <row r="124" spans="2:10" ht="15.75" customHeight="1"/>
    <row r="125" spans="2:10" ht="15.75" customHeight="1"/>
    <row r="126" spans="2:10" ht="15.75" customHeight="1"/>
    <row r="127" spans="2:10" ht="15.75" customHeight="1">
      <c r="B127" s="38" t="s">
        <v>420</v>
      </c>
      <c r="C127" s="39"/>
      <c r="D127" s="39"/>
      <c r="E127" s="39"/>
      <c r="F127" s="39"/>
      <c r="G127" s="39"/>
    </row>
    <row r="128" spans="2:10" ht="15.75" customHeight="1">
      <c r="B128" s="39"/>
      <c r="C128" s="39"/>
      <c r="D128" s="39"/>
      <c r="E128" s="39"/>
      <c r="F128" s="39"/>
      <c r="G128" s="39"/>
    </row>
    <row r="129" spans="2:7" ht="15.75" customHeight="1">
      <c r="B129" s="39"/>
      <c r="C129" s="39"/>
      <c r="D129" s="39"/>
      <c r="E129" s="39"/>
      <c r="F129" s="39"/>
      <c r="G129" s="39"/>
    </row>
    <row r="130" spans="2:7" ht="15.75" customHeight="1">
      <c r="B130" s="39"/>
      <c r="C130" s="39"/>
      <c r="D130" s="39"/>
      <c r="E130" s="39"/>
      <c r="F130" s="39"/>
      <c r="G130" s="39"/>
    </row>
    <row r="131" spans="2:7" ht="15.75" customHeight="1">
      <c r="B131" s="39"/>
      <c r="C131" s="39"/>
      <c r="D131" s="39"/>
      <c r="E131" s="39"/>
      <c r="F131" s="39"/>
      <c r="G131" s="39"/>
    </row>
    <row r="132" spans="2:7" ht="15.75" customHeight="1">
      <c r="B132" s="39"/>
      <c r="C132" s="39"/>
      <c r="D132" s="39"/>
      <c r="E132" s="39"/>
      <c r="F132" s="39"/>
      <c r="G132" s="39"/>
    </row>
    <row r="133" spans="2:7" ht="15.75" customHeight="1">
      <c r="B133" s="39"/>
      <c r="C133" s="39"/>
      <c r="D133" s="39"/>
      <c r="E133" s="39"/>
      <c r="F133" s="39"/>
      <c r="G133" s="39"/>
    </row>
    <row r="134" spans="2:7" ht="56.25" customHeight="1">
      <c r="B134" s="39"/>
      <c r="C134" s="39"/>
      <c r="D134" s="39"/>
      <c r="E134" s="39"/>
      <c r="F134" s="39"/>
      <c r="G134" s="39"/>
    </row>
    <row r="135" spans="2:7" ht="15.75" customHeight="1"/>
    <row r="136" spans="2:7" ht="15.75" customHeight="1"/>
    <row r="137" spans="2:7" ht="15.75" customHeight="1"/>
    <row r="138" spans="2:7" ht="15.75" customHeight="1"/>
    <row r="139" spans="2:7" ht="15.75" customHeight="1"/>
    <row r="140" spans="2:7" ht="15.75" customHeight="1"/>
    <row r="141" spans="2:7" ht="15.75" customHeight="1"/>
    <row r="142" spans="2:7" ht="15.75" customHeight="1"/>
    <row r="143" spans="2:7" ht="15.75" customHeight="1"/>
    <row r="144" spans="2: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sheetData>
  <mergeCells count="1">
    <mergeCell ref="B127:G134"/>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2023-06-05T13:12:31Z</dcterms:created>
  <dcterms:modified xsi:type="dcterms:W3CDTF">2026-02-03T15:34:50Z</dcterms:modified>
  <cp:category/>
  <cp:contentStatus/>
</cp:coreProperties>
</file>