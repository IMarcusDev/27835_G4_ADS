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59DB1D14-03D1-4603-80A8-D24F570CDCA8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Formato descripción HU" sheetId="1" r:id="rId1"/>
    <sheet name="Historia de Usuario" sheetId="2" r:id="rId2"/>
    <sheet name="RF1 - Historia de Usuario" sheetId="3" r:id="rId3"/>
    <sheet name="RF2 - Historia de Usuario" sheetId="5" r:id="rId4"/>
    <sheet name="RF3.1 - Historia de Usuario" sheetId="4" r:id="rId5"/>
    <sheet name="RF3.2.1 - Historia de Usuario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" i="2" l="1"/>
  <c r="D15" i="3"/>
  <c r="L22" i="6"/>
  <c r="E22" i="6"/>
  <c r="E19" i="6"/>
  <c r="M15" i="6"/>
  <c r="H15" i="6"/>
  <c r="D15" i="6"/>
  <c r="C13" i="6"/>
  <c r="E13" i="6"/>
  <c r="H13" i="6"/>
  <c r="E10" i="6"/>
  <c r="H10" i="6"/>
  <c r="L22" i="5"/>
  <c r="E22" i="5"/>
  <c r="E19" i="5"/>
  <c r="M15" i="5"/>
  <c r="H15" i="5"/>
  <c r="D15" i="5"/>
  <c r="C13" i="5"/>
  <c r="E13" i="5"/>
  <c r="H13" i="5"/>
  <c r="E10" i="5"/>
  <c r="H10" i="5"/>
  <c r="L22" i="4"/>
  <c r="E22" i="4"/>
  <c r="E19" i="4"/>
  <c r="M15" i="4"/>
  <c r="H15" i="4"/>
  <c r="D15" i="4"/>
  <c r="C13" i="4"/>
  <c r="E13" i="4"/>
  <c r="H13" i="4"/>
  <c r="E10" i="4"/>
  <c r="H10" i="4"/>
  <c r="L22" i="3"/>
  <c r="E22" i="3"/>
  <c r="E19" i="3"/>
  <c r="M15" i="3"/>
  <c r="H15" i="3"/>
  <c r="C13" i="3"/>
  <c r="E13" i="3"/>
  <c r="H13" i="3"/>
  <c r="E10" i="3"/>
  <c r="H10" i="3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<sst xmlns="http://schemas.openxmlformats.org/spreadsheetml/2006/main" count="428" uniqueCount="231">
  <si>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</si>
  <si>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</si>
  <si>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</si>
  <si>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</si>
  <si>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</si>
  <si>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</si>
  <si>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</si>
  <si>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</si>
  <si>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</si>
  <si>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</si>
  <si>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</si>
  <si>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</si>
  <si>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</si>
  <si>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</si>
  <si>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</si>
  <si>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RF1.1</t>
  </si>
  <si>
    <t>El padre nuevo necesita una cuenta.</t>
  </si>
  <si>
    <t xml:space="preserve">Registrarme en la aplicación con mis datos obligatorios (nombre, correo, contraseña, fecha de nacimiento. Y obtener el rol de padre.
</t>
  </si>
  <si>
    <t>Para que el sistema guarde mis datos y me permita iniciar sesión.</t>
  </si>
  <si>
    <t>Padre</t>
  </si>
  <si>
    <t xml:space="preserve">El usuario ingresa sus datos en el formulario de registro, selecciona el rol de padre. El sistema valida el formato de los campos y los guarda.
</t>
  </si>
  <si>
    <t>Marcos Escobar</t>
  </si>
  <si>
    <t xml:space="preserve">4 horas </t>
  </si>
  <si>
    <t xml:space="preserve">sáb 17/5/25 </t>
  </si>
  <si>
    <t>Alta</t>
  </si>
  <si>
    <t>No iniciado</t>
  </si>
  <si>
    <t>Si no se puede identificar el rol, se muestra un error y se sugiere reiniciar sesión.</t>
  </si>
  <si>
    <t>Foco en las validaciones de campos del Anexo 2  y el manejo de errores para el usuario.</t>
  </si>
  <si>
    <t xml:space="preserve">Registrar Usuario </t>
  </si>
  <si>
    <t>RF1.2</t>
  </si>
  <si>
    <t xml:space="preserve">El docente registrado necesita acceder.
</t>
  </si>
  <si>
    <t xml:space="preserve">Registrarme en la aplicación con mis datos obligatorios (nombre, correo, contraseña, fecha de nacimiento, rol).
</t>
  </si>
  <si>
    <t xml:space="preserve">Docente </t>
  </si>
  <si>
    <t>El usuario ingresa su correo y contraseña. El sistema los valida contra la base de datos y da acceso.</t>
  </si>
  <si>
    <t xml:space="preserve">3 horas </t>
  </si>
  <si>
    <t>Si el código es inválido o expirado, el sistema muestra un mensaje de error claro. Si es exitoso, muestra confirmación.</t>
  </si>
  <si>
    <t xml:space="preserve">Iniciar sesión </t>
  </si>
  <si>
    <t>RF2.1</t>
  </si>
  <si>
    <t xml:space="preserve">El usuario registrado necesita acceder.
</t>
  </si>
  <si>
    <t>Iniciar sesión en la aplicación con mi correo electrónico y contraseña.</t>
  </si>
  <si>
    <t>Para que el sistema valide mis credenciales y me autorice el acceso a la app.</t>
  </si>
  <si>
    <t xml:space="preserve">Padre </t>
  </si>
  <si>
    <t>Priorizar la validación segura de credenciales y la correcta redirección post-login.</t>
  </si>
  <si>
    <t>RF2.2</t>
  </si>
  <si>
    <t>RF3.1</t>
  </si>
  <si>
    <t>El padre necesita ver el contenido del nivel principiante para la categoría de edad seleccionada.</t>
  </si>
  <si>
    <t>(Derivado) Para que el actor pueda seleccionar, visualizar y filtrar contenido de expresiones básicas y señas sobre animales.</t>
  </si>
  <si>
    <t>El sistema muestra la lista de contenidos del nivel. El padre puede seleccionar uno para verlo o usar palabras clave para filtrar la lista.</t>
  </si>
  <si>
    <t>mié 28/5/25</t>
  </si>
  <si>
    <t>Si el filtro no encuentra nada, se muestra "no hay coincidencias". Si no se carga el contenido, muestra error.</t>
  </si>
  <si>
    <t>Carga de contenido base. Coordinar con RF14 (Fernando) para la funcionalidad del filtro.</t>
  </si>
  <si>
    <t>Mostrar nivel principiante</t>
  </si>
  <si>
    <t>RF3.2.1</t>
  </si>
  <si>
    <t>El padre necesita practicar en nivel intermedio.</t>
  </si>
  <si>
    <t>Realizar una práctica para seleccionar la seña correcta.</t>
  </si>
  <si>
    <t>Para que el sistema valide mi selección, me dé retroalimentación (Correcto/Incorrecto) y registre el resultado.</t>
  </si>
  <si>
    <t>El sistema muestra una seña y varias opciones. El padre elige una. El sistema da feedback y avanza.</t>
  </si>
  <si>
    <t>6 horas</t>
  </si>
  <si>
    <t>Si no se carga la práctica, muestra error. El sistema debe dar feedback "Correcto" o "Incorrecto".</t>
  </si>
  <si>
    <t>Implementar la lógica del quiz: recibir la respuesta, validar y entregar retroalimentación inmediata.</t>
  </si>
  <si>
    <t>Seleccionar seña correcta</t>
  </si>
  <si>
    <t>RF3.2.2</t>
  </si>
  <si>
    <t>El padre necesita practicar asociación.</t>
  </si>
  <si>
    <t>Realizar una práctica de asociación visual (arrastrar y soltar).</t>
  </si>
  <si>
    <t>Para asociar correctamente cada seña (video/imagen) con su etiqueta de significado.</t>
  </si>
  <si>
    <t>El sistema muestra señas y etiquetas desordenadas. El padre las arrastra para unirlas. El sistema valida y da feedback.</t>
  </si>
  <si>
    <t>vie 30/5/25</t>
  </si>
  <si>
    <t>Si no se carga la práctica, muestra error. El progreso se puede guardar al salir.</t>
  </si>
  <si>
    <t>Foco en la UI/UX de "arrastrar y soltar" (drag &amp; drop) y su lógica de validación.</t>
  </si>
  <si>
    <t>Practicar por asociación visual</t>
  </si>
  <si>
    <t>RF3.3.1</t>
  </si>
  <si>
    <t>El padre necesita practicar imitación (Avanzado).</t>
  </si>
  <si>
    <t>Practicar señas con un ejemplo visual contextual.</t>
  </si>
  <si>
    <t>Para observar el ejemplo, imitar la seña frente a la cámara y seleccionar el significado correcto.</t>
  </si>
  <si>
    <t>El sistema pide permiso de cámara. Muestra la seña y su contexto. El padre imita y responde. El sistema valida la imitación y la respuesta.</t>
  </si>
  <si>
    <t>Mateo Sosa</t>
  </si>
  <si>
    <t>5 horas</t>
  </si>
  <si>
    <t>sáb 31/5/25</t>
  </si>
  <si>
    <t>Si no se da permiso a la cámara, el caso de uso no se ejecuta. Si la imitación falla, pide volver a intentarlo.</t>
  </si>
  <si>
    <t>Tarea compleja. Requiere integración con la cámara y el modelo de reconocimiento de señas.</t>
  </si>
  <si>
    <t>Practicar señas con ejemplo visual</t>
  </si>
  <si>
    <t>RF3.3.2</t>
  </si>
  <si>
    <t xml:space="preserve">El padre necesita practicar con audio (Avanzado).	</t>
  </si>
  <si>
    <t>Practicar señas con audio e imitación.</t>
  </si>
  <si>
    <t>Para escuchar una descripción, ver la seña, e imitarla frente a la cámara para que el sistema la valide.</t>
  </si>
  <si>
    <t>El sistema pide permiso de cámara. Reproduce el video de la seña y el audio. El padre imita. El sistema captura y valida la imitación.</t>
  </si>
  <si>
    <t>Si no se da permiso a la cámara, no se ejecuta. Si la validación de la seña falla, pide volver a realizarla</t>
  </si>
  <si>
    <t>Similar a la anterior. Sincronizar el audio descriptivo con la validación de la cámara.</t>
  </si>
  <si>
    <t>Practicar con audio imitación</t>
  </si>
  <si>
    <t>RF4</t>
  </si>
  <si>
    <t>El padre necesita unirse a una clase.</t>
  </si>
  <si>
    <t>Para que el sistema me vincule a la clase de un docente y me dé acceso a los contenidos.</t>
  </si>
  <si>
    <t>El padre ingresa un código. El sistema valida su existencia y vigencia. Si es válido, lo enlaza a la clase.</t>
  </si>
  <si>
    <t>Tarea central. Validar el código contra el generado en RF6 (Docente). Manejar códigos inválidos o expirados.</t>
  </si>
  <si>
    <t>Enlazar clase</t>
  </si>
  <si>
    <t>RF5</t>
  </si>
  <si>
    <t>El padre necesita un "diccionario" de frases.</t>
  </si>
  <si>
    <t>Categorizar frases comunes.</t>
  </si>
  <si>
    <t>Para explorar un listado de frases comunes (saludos, rutinas) y ver su representación en señas (video/imagen).</t>
  </si>
  <si>
    <t>El padre accede a la sección. El sistema carga las categorías (saludos, hogar, etc.). El padre selecciona una y explora las frases.</t>
  </si>
  <si>
    <t>Fernando Tipán</t>
  </si>
  <si>
    <t>lun 9/6/25</t>
  </si>
  <si>
    <t xml:space="preserve">Media </t>
  </si>
  <si>
    <t>Si no se pueden cargar las categorías o las frases, el sistema muestra un mensaje de error indicando que el contenido no está disponible.</t>
  </si>
  <si>
    <t>Foco en mostrar el "diccionario" de frases. Cargar categorías y luego el contenido visual (video/imagen).</t>
  </si>
  <si>
    <t>Categorizar frases comunes</t>
  </si>
  <si>
    <t>RF6</t>
  </si>
  <si>
    <t>El docente necesita crear grupos.</t>
  </si>
  <si>
    <t>Generar un código de clase.</t>
  </si>
  <si>
    <t>Para que los padres puedan unirse a la clase que he creado.</t>
  </si>
  <si>
    <t>Docente</t>
  </si>
  <si>
    <t>El docente (con rol verificado) ingresa un nombre para una nueva clase. El sistema valida que no exista y genera un código único.</t>
  </si>
  <si>
    <t>4 horas</t>
  </si>
  <si>
    <t>mar 10/6/25</t>
  </si>
  <si>
    <t>Si el nombre de la clase ya está en uso por él, el sistema muestra un error. Si falla la generación, notifica el error.</t>
  </si>
  <si>
    <t>Asegurar que el código generado sea único por clase y se almacene correctamente en la BD.</t>
  </si>
  <si>
    <t>Generar código de clase</t>
  </si>
  <si>
    <t>RF7</t>
  </si>
  <si>
    <t>El docente necesita añadir contenido.</t>
  </si>
  <si>
    <t>Importar contenido multimedia (video, imagen, frase) para una nueva seña.</t>
  </si>
  <si>
    <t>Para que el material quede disponible en la base de datos para los módulos de aprendizaje.</t>
  </si>
  <si>
    <t>El docente llena un formulario con video, imagen, título, categoría, nivel y palabras clave. El sistema valida y guarda.</t>
  </si>
  <si>
    <t>Si un archivo tiene formato incorrecto o faltan campos obligatorios, el sistema bloquea el envío y notifica.</t>
  </si>
  <si>
    <t>Foco en la subida de archivos (video/imagen). Validar formatos y que todos los metadatos se guarden.</t>
  </si>
  <si>
    <t>Importar contenido</t>
  </si>
  <si>
    <t>RF8</t>
  </si>
  <si>
    <t>El docente necesita ver el progreso.</t>
  </si>
  <si>
    <t>Visualizar el progreso de un padre (estudiante).</t>
  </si>
  <si>
    <t>Para ver un informe visual con el avance, errores, intentos y aciertos del estudiante.</t>
  </si>
  <si>
    <t>El docente selecciona una clase y luego un estudiante. El sistema consulta la BD y genera un informe visual del progreso.</t>
  </si>
  <si>
    <t>Si no hay progreso registrado para ese estudiante, el sistema muestra un mensaje indicándolo.</t>
  </si>
  <si>
    <t>Tarea de frontend/visualización. Consultar los datos de progreso y presentarlos de forma clara al docente.</t>
  </si>
  <si>
    <t>Visualizar progreso</t>
  </si>
  <si>
    <t>RF9</t>
  </si>
  <si>
    <t>El docente necesita ver el historial.</t>
  </si>
  <si>
    <t>Ver el historial de palabras aprendidas de un padre.</t>
  </si>
  <si>
    <t>Para revisar las palabras específicas que el padre ha completado por lección y módulo.</t>
  </si>
  <si>
    <t>Similar a RF8, el docente selecciona al padre y el sistema consulta y muestra el historial de vocabulario aprendido.</t>
  </si>
  <si>
    <t>jue 12/6/25</t>
  </si>
  <si>
    <t>Si no hay información registrada, el sistema muestra un mensaje indicando que no hay resultados.</t>
  </si>
  <si>
    <t>Tarea de backend/query. Optimizar la consulta que recupera el historial de vocabulario del padre.</t>
  </si>
  <si>
    <t>Ver historial de palabras aprendidas</t>
  </si>
  <si>
    <t>RF10</t>
  </si>
  <si>
    <t>El padre necesita usar la app sin internet.</t>
  </si>
  <si>
    <t>Descargar el contenido de un módulo gratuito y activo.</t>
  </si>
  <si>
    <t>Para poder usar el contenido y las lecciones en modo sin conexión.</t>
  </si>
  <si>
    <t>El padre selecciona un módulo gratuito activo y confirma la descarga. El sistema pide permiso de almacenamiento y descarga el contenido.</t>
  </si>
  <si>
    <t xml:space="preserve">5 horas </t>
  </si>
  <si>
    <t>Si la tarjeta es rechazada, se informa el motivo. Si el pago se aprueba pero el registro falla, se notifica y se reembolsa.</t>
  </si>
  <si>
    <t>Implementar la lógica de descarga y almacenamiento local para uso offline. Manejar permisos.</t>
  </si>
  <si>
    <t>Comprar membresía</t>
  </si>
  <si>
    <t>RF11</t>
  </si>
  <si>
    <t>El padre necesita acceder a funciones premium.</t>
  </si>
  <si>
    <t>Acceder a contenido exclusivo (Traductor, Aprendizaje Dinámico).</t>
  </si>
  <si>
    <t>Para que el sistema verifique si tengo una membresía activa y me dé acceso.</t>
  </si>
  <si>
    <t>El sistema verifica el estado de la membresía del padre. Si es válida, desbloquea las funciones. Si no, lo redirige a la pantalla de compra.</t>
  </si>
  <si>
    <t>Si la membresía no es válida, el usuario es redirigido a la sección informativa para comprarla.</t>
  </si>
  <si>
    <t>Es el "guardián" (gatekeeper) de las funciones premium. Debe validar el estado de la membresía (RF11.1).</t>
  </si>
  <si>
    <t>Acceder a contenido exclusivo</t>
  </si>
  <si>
    <t>RF11.1</t>
  </si>
  <si>
    <t>El padre necesita pagar la membresía.</t>
  </si>
  <si>
    <t>Comprar una membresía.</t>
  </si>
  <si>
    <t>Para que el sistema procese mi pago con tarjeta (vía API externa) y actualice mi estado a miembro activo.</t>
  </si>
  <si>
    <t>El padre va a la sección "Comprar", selecciona la opción y es redirigido a una API de pago (Stripe/PayPal) para ingresar sus datos.</t>
  </si>
  <si>
    <t>mar 3/6/25</t>
  </si>
  <si>
    <t>Tarea crítica. Enfocarse en la integración segura con la API de pagos (ej. Stripe o PayPal).</t>
  </si>
  <si>
    <t>RF11.2.1</t>
  </si>
  <si>
    <t>El padre (premium) necesita practicar con juegos.</t>
  </si>
  <si>
    <t>Enseñar con juegos de memoria reconociendo señas.</t>
  </si>
  <si>
    <t>Para que el sistema cargue un juego con mi vocabulario aprendido y yo pueda seleccionar la respuesta correcta.</t>
  </si>
  <si>
    <t>El sistema recupera el historial de vocabulario del padre y genera un juego de memoria (mostrar seña, elegir palabra). Registra aciertos/errores.</t>
  </si>
  <si>
    <t>Si el padre sale del juego a la mitad, el progreso de esa partida no se guarda y se le notifica al volver a entrar.</t>
  </si>
  <si>
    <t>Implementar la lógica del juego (quiz), que debe consultar el historial del usuario (RF9) para saber qué señas mostrar.</t>
  </si>
  <si>
    <t>Enseñar con juegos de memoria</t>
  </si>
  <si>
    <t>RF11.2.2</t>
  </si>
  <si>
    <t>El padre (premium) necesita practicar imitación.</t>
  </si>
  <si>
    <t>Enseñar con juegos de imitación de señas.</t>
  </si>
  <si>
    <t>Para que el sistema me muestre una palabra, active la cámara, y yo realice la seña para que la valide.</t>
  </si>
  <si>
    <t>El sistema recupera vocabulario, presenta una palabra, activa la cámara y usa reconocimiento de gestos para validar la imitación del padre.</t>
  </si>
  <si>
    <t>mié 4/6/25</t>
  </si>
  <si>
    <t>Si el permiso de cámara no está otorgado o la cámara falla, se muestra un mensaje y la función no se ejecuta.</t>
  </si>
  <si>
    <t>Requiere el modelo de reconocimiento (como RF3.3.1) para validar la imitación de señas.</t>
  </si>
  <si>
    <t>Enseñar con juegos de imitación</t>
  </si>
  <si>
    <t>RF11.3</t>
  </si>
  <si>
    <t>El padre (premium) necesita un traductor.</t>
  </si>
  <si>
    <t>Traducir un texto breve (palabra o frase corta).</t>
  </si>
  <si>
    <t>Para ver la seña correspondiente (si está en la BD) o verla deletreada letra por letra (si no lo está).</t>
  </si>
  <si>
    <t>El padre ingresa texto. El sistema busca en la BD. Si la encuentra, muestra el video/imagen. Si no, genera una secuencia de deletreo.</t>
  </si>
  <si>
    <t>sáb 7/6/25</t>
  </si>
  <si>
    <t>Si la palabra no está registrada, el sistema debe activar el modo de deletreo automáticamente.</t>
  </si>
  <si>
    <t>Implementar la lógica doble: 1. Buscar en BD. 2. Si no existe, activar modo "deletreo".</t>
  </si>
  <si>
    <t>Traducir texto breve</t>
  </si>
  <si>
    <t>RF12</t>
  </si>
  <si>
    <t>El padre necesita orientación inicial.</t>
  </si>
  <si>
    <t>Recibir una guía por las funcionalidades principales del sistema.</t>
  </si>
  <si>
    <t>Para entender cómo usar la app, enlazar una clase y ver qué actividades tengo desbloqueadas.</t>
  </si>
  <si>
    <t>Al acceder por primera vez, el sistema identifica el rol y despliega mensajes breves guiando al usuario por las funciones clave.</t>
  </si>
  <si>
    <t>mar 27/5/25</t>
  </si>
  <si>
    <t>Baja</t>
  </si>
  <si>
    <t>Es el "tour" inicial. Los mensajes deben ser claros, contextuales y no intrusivos.</t>
  </si>
  <si>
    <t>Guiar por funcionalidades del sistema</t>
  </si>
  <si>
    <t>RF13</t>
  </si>
  <si>
    <t>El sistema necesita nivelar al padre.</t>
  </si>
  <si>
    <t>Realizar una prueba de conocimiento inicial.</t>
  </si>
  <si>
    <t>Para que el sistema determine mi nivel de conocimiento (Principiante, etc.) y la categoría de edad de mi hijo.</t>
  </si>
  <si>
    <t>El padre responde un cuestionario (Anexo 3). El sistema procesa las respuestas, asigna un nivel/categoría y guarda los resultados .</t>
  </si>
  <si>
    <t>lun 19/5/25</t>
  </si>
  <si>
    <t>Si faltan preguntas, el sistema avisa que debe completarlas. Si es exitoso, guarda y redirige a "Enlazar clase".</t>
  </si>
  <si>
    <t>Tarea clave. Asegurar que la lógica del cuestionario (Anexo 3)  asigne correctamente el nivel y categoría.</t>
  </si>
  <si>
    <t>Realizar prueba de conocimiento</t>
  </si>
  <si>
    <t>RF14</t>
  </si>
  <si>
    <t>El padre necesita buscar contenido.</t>
  </si>
  <si>
    <t>Filtrar contenido.</t>
  </si>
  <si>
    <t>Para encontrar contenidos específicos (ej. "comer", "gracias") usando palabras clave, sin tener que explorar todo.</t>
  </si>
  <si>
    <t>El padre escribe uno o más términos en la barra de búsqueda (asociada a RF3.1 y RF5). El sistema filtra y muestra resultados.</t>
  </si>
  <si>
    <t>Si el campo de búsqueda está vacío, el sistema muestra "Debe ingresar al menos una palabra...". Si no hay coincidencias, se informa.</t>
  </si>
  <si>
    <t>Implementar la lógica de búsqueda. Debe funcionar para RF3.1 (Principiante) y RF5 (Frases comunes).</t>
  </si>
  <si>
    <t>Filtrar contenido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</si>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</sst>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color theme="1"/>
      <name val="Arial"/>
      <charset val="1"/>
    </font>
    <font>
      <sz val="11"/>
      <color theme="1"/>
      <name val="Arial Narrow"/>
      <charset val="1"/>
    </font>
    <font>
      <b/>
      <i/>
      <sz val="16"/>
      <color theme="1"/>
      <name val="Arial Narrow"/>
      <charset val="1"/>
    </font>
    <font>
      <b/>
      <i/>
      <sz val="11"/>
      <color rgb="FF9C6500"/>
      <name val="Arial Narrow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theme="0"/>
      <name val="Calibri"/>
      <charset val="1"/>
    </font>
    <font>
      <b/>
      <sz val="11"/>
      <color rgb="FFFA7D00"/>
      <name val="Calibri"/>
      <charset val="1"/>
    </font>
    <font>
      <sz val="12"/>
      <color theme="1"/>
      <name val="Calibri"/>
      <charset val="1"/>
    </font>
    <font>
      <b/>
      <i/>
      <sz val="12"/>
      <color rgb="FF9C6500"/>
      <name val="Calibri"/>
      <charset val="1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6"/>
        <bgColor rgb="FFB2B2B2"/>
      </patternFill>
    </fill>
    <fill>
      <patternFill patternType="solid">
        <fgColor theme="4"/>
        <bgColor rgb="FF808080"/>
      </patternFill>
    </fill>
    <fill>
      <patternFill patternType="solid">
        <fgColor rgb="FFFFEB9C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7" fillId="6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0" fillId="5" borderId="2" xfId="0" applyFill="1" applyBorder="1"/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8" fillId="5" borderId="0" xfId="0" applyFont="1" applyFill="1" applyAlignment="1">
      <alignment vertical="center"/>
    </xf>
    <xf numFmtId="0" fontId="0" fillId="5" borderId="0" xfId="0" applyFill="1"/>
    <xf numFmtId="0" fontId="0" fillId="5" borderId="6" xfId="0" applyFill="1" applyBorder="1"/>
    <xf numFmtId="0" fontId="9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2" fillId="5" borderId="3" xfId="0" applyFont="1" applyFill="1" applyBorder="1"/>
    <xf numFmtId="0" fontId="14" fillId="6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2B2B2"/>
      <rgbColor rgb="FF808080"/>
      <rgbColor rgb="FF5B9BD5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76080" y="1209600"/>
          <a:ext cx="106632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90320" y="1209600"/>
          <a:ext cx="109512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CE18F701-B3BA-4F82-A114-5640829EDC7E}"/>
            </a:ext>
            <a:ext uri="{147F2762-F138-4A5C-976F-8EAC2B608ADB}">
              <a16:predDERef xmlns:a16="http://schemas.microsoft.com/office/drawing/2014/main" pre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6F7FCD81-29B3-4198-A22E-9EED7E00F3D9}"/>
            </a:ext>
            <a:ext uri="{147F2762-F138-4A5C-976F-8EAC2B608ADB}">
              <a16:predDERef xmlns:a16="http://schemas.microsoft.com/office/drawing/2014/main" pre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25F28AB7-B84F-48A5-92BD-1FC594E97BD6}"/>
            </a:ext>
            <a:ext uri="{147F2762-F138-4A5C-976F-8EAC2B608ADB}">
              <a16:predDERef xmlns:a16="http://schemas.microsoft.com/office/drawing/2014/main" pre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9449AD69-8845-4989-B789-D9517B2CD02C}"/>
            </a:ext>
            <a:ext uri="{147F2762-F138-4A5C-976F-8EAC2B608ADB}">
              <a16:predDERef xmlns:a16="http://schemas.microsoft.com/office/drawing/2014/main" pre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zoomScaleNormal="100" workbookViewId="0">
      <selection activeCell="O22" sqref="O22"/>
    </sheetView>
  </sheetViews>
  <sheetFormatPr defaultColWidth="12.625" defaultRowHeight="15" customHeight="1"/>
  <cols>
    <col min="1" max="1" width="4.625" style="2" customWidth="1"/>
    <col min="2" max="2" width="12.87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style="2" customWidth="1"/>
  </cols>
  <sheetData>
    <row r="1" spans="1:15">
      <c r="A1" s="2">
        <v>4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</row>
    <row r="2" spans="1:15"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</row>
    <row r="3" spans="1:15" ht="45" customHeight="1">
      <c r="B3" s="47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</row>
    <row r="5" spans="1:15" ht="60" customHeight="1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15" ht="72.75">
      <c r="B6" s="39" t="s">
        <v>15</v>
      </c>
      <c r="C6" s="40" t="s">
        <v>16</v>
      </c>
      <c r="D6" s="40" t="s">
        <v>17</v>
      </c>
      <c r="E6" s="40" t="s">
        <v>18</v>
      </c>
      <c r="F6" s="40" t="s">
        <v>19</v>
      </c>
      <c r="G6" s="40" t="s">
        <v>20</v>
      </c>
      <c r="H6" s="40" t="s">
        <v>21</v>
      </c>
      <c r="I6" s="40" t="s">
        <v>22</v>
      </c>
      <c r="J6" s="41" t="s">
        <v>23</v>
      </c>
      <c r="K6" s="42" t="s">
        <v>24</v>
      </c>
      <c r="L6" s="40" t="s">
        <v>25</v>
      </c>
      <c r="M6" s="43" t="s">
        <v>26</v>
      </c>
      <c r="N6" s="40" t="s">
        <v>27</v>
      </c>
      <c r="O6" s="40" t="s">
        <v>28</v>
      </c>
    </row>
    <row r="7" spans="1:15" ht="75.75" customHeight="1">
      <c r="B7" s="39" t="s">
        <v>29</v>
      </c>
      <c r="C7" s="40" t="s">
        <v>30</v>
      </c>
      <c r="D7" s="40" t="s">
        <v>31</v>
      </c>
      <c r="E7" s="40" t="s">
        <v>18</v>
      </c>
      <c r="F7" s="40" t="s">
        <v>32</v>
      </c>
      <c r="G7" s="40" t="s">
        <v>33</v>
      </c>
      <c r="H7" s="40" t="s">
        <v>21</v>
      </c>
      <c r="I7" s="40" t="s">
        <v>34</v>
      </c>
      <c r="J7" s="41" t="s">
        <v>23</v>
      </c>
      <c r="K7" s="40" t="s">
        <v>24</v>
      </c>
      <c r="L7" s="40" t="s">
        <v>25</v>
      </c>
      <c r="M7" s="43" t="s">
        <v>35</v>
      </c>
      <c r="N7" s="40" t="s">
        <v>27</v>
      </c>
      <c r="O7" s="40" t="s">
        <v>36</v>
      </c>
    </row>
    <row r="8" spans="1:15" ht="75.75" customHeight="1">
      <c r="B8" s="39" t="s">
        <v>37</v>
      </c>
      <c r="C8" s="40" t="s">
        <v>38</v>
      </c>
      <c r="D8" s="40" t="s">
        <v>39</v>
      </c>
      <c r="E8" s="40" t="s">
        <v>40</v>
      </c>
      <c r="F8" s="40" t="s">
        <v>41</v>
      </c>
      <c r="G8" s="40" t="s">
        <v>33</v>
      </c>
      <c r="H8" s="40" t="s">
        <v>21</v>
      </c>
      <c r="I8" s="40" t="s">
        <v>34</v>
      </c>
      <c r="J8" s="41" t="s">
        <v>23</v>
      </c>
      <c r="K8" s="40" t="s">
        <v>24</v>
      </c>
      <c r="L8" s="40" t="s">
        <v>25</v>
      </c>
      <c r="M8" s="43" t="s">
        <v>35</v>
      </c>
      <c r="N8" s="40" t="s">
        <v>42</v>
      </c>
      <c r="O8" s="40" t="s">
        <v>36</v>
      </c>
    </row>
    <row r="9" spans="1:15" ht="75.75" customHeight="1">
      <c r="B9" s="39" t="s">
        <v>43</v>
      </c>
      <c r="C9" s="40" t="s">
        <v>38</v>
      </c>
      <c r="D9" s="40" t="s">
        <v>39</v>
      </c>
      <c r="E9" s="40" t="s">
        <v>40</v>
      </c>
      <c r="F9" s="40" t="s">
        <v>32</v>
      </c>
      <c r="G9" s="40" t="s">
        <v>33</v>
      </c>
      <c r="H9" s="40" t="s">
        <v>21</v>
      </c>
      <c r="I9" s="40" t="s">
        <v>34</v>
      </c>
      <c r="J9" s="41" t="s">
        <v>23</v>
      </c>
      <c r="K9" s="40" t="s">
        <v>24</v>
      </c>
      <c r="L9" s="40" t="s">
        <v>25</v>
      </c>
      <c r="M9" s="43" t="s">
        <v>35</v>
      </c>
      <c r="N9" s="40" t="s">
        <v>42</v>
      </c>
      <c r="O9" s="40" t="s">
        <v>36</v>
      </c>
    </row>
    <row r="10" spans="1:15" ht="61.5" customHeight="1">
      <c r="B10" s="39" t="s">
        <v>44</v>
      </c>
      <c r="C10" s="40" t="s">
        <v>45</v>
      </c>
      <c r="D10" s="40" t="s">
        <v>45</v>
      </c>
      <c r="E10" s="40" t="s">
        <v>46</v>
      </c>
      <c r="F10" s="40" t="s">
        <v>19</v>
      </c>
      <c r="G10" s="44" t="s">
        <v>47</v>
      </c>
      <c r="H10" s="40" t="s">
        <v>21</v>
      </c>
      <c r="I10" s="40" t="s">
        <v>22</v>
      </c>
      <c r="J10" s="41" t="s">
        <v>48</v>
      </c>
      <c r="K10" s="40" t="s">
        <v>24</v>
      </c>
      <c r="L10" s="40" t="s">
        <v>25</v>
      </c>
      <c r="M10" s="40" t="s">
        <v>49</v>
      </c>
      <c r="N10" s="40" t="s">
        <v>50</v>
      </c>
      <c r="O10" s="40" t="s">
        <v>51</v>
      </c>
    </row>
    <row r="11" spans="1:15" ht="70.5" customHeight="1">
      <c r="B11" s="39" t="s">
        <v>52</v>
      </c>
      <c r="C11" s="40" t="s">
        <v>53</v>
      </c>
      <c r="D11" s="44" t="s">
        <v>54</v>
      </c>
      <c r="E11" s="40" t="s">
        <v>55</v>
      </c>
      <c r="F11" s="40" t="s">
        <v>19</v>
      </c>
      <c r="G11" s="44" t="s">
        <v>56</v>
      </c>
      <c r="H11" s="40" t="s">
        <v>21</v>
      </c>
      <c r="I11" s="40" t="s">
        <v>57</v>
      </c>
      <c r="J11" s="41" t="s">
        <v>48</v>
      </c>
      <c r="K11" s="40" t="s">
        <v>24</v>
      </c>
      <c r="L11" s="40" t="s">
        <v>25</v>
      </c>
      <c r="M11" s="40" t="s">
        <v>58</v>
      </c>
      <c r="N11" s="40" t="s">
        <v>59</v>
      </c>
      <c r="O11" s="40" t="s">
        <v>60</v>
      </c>
    </row>
    <row r="12" spans="1:15" ht="61.5" customHeight="1">
      <c r="B12" s="39" t="s">
        <v>61</v>
      </c>
      <c r="C12" s="40" t="s">
        <v>62</v>
      </c>
      <c r="D12" s="45" t="s">
        <v>63</v>
      </c>
      <c r="E12" s="40" t="s">
        <v>64</v>
      </c>
      <c r="F12" s="40" t="s">
        <v>19</v>
      </c>
      <c r="G12" s="44" t="s">
        <v>65</v>
      </c>
      <c r="H12" s="40" t="s">
        <v>21</v>
      </c>
      <c r="I12" s="40" t="s">
        <v>57</v>
      </c>
      <c r="J12" s="41" t="s">
        <v>66</v>
      </c>
      <c r="K12" s="40" t="s">
        <v>24</v>
      </c>
      <c r="L12" s="40" t="s">
        <v>25</v>
      </c>
      <c r="M12" s="40" t="s">
        <v>67</v>
      </c>
      <c r="N12" s="40" t="s">
        <v>68</v>
      </c>
      <c r="O12" s="40" t="s">
        <v>69</v>
      </c>
    </row>
    <row r="13" spans="1:15" ht="58.5" customHeight="1">
      <c r="B13" s="39" t="s">
        <v>70</v>
      </c>
      <c r="C13" s="40" t="s">
        <v>71</v>
      </c>
      <c r="D13" s="44" t="s">
        <v>72</v>
      </c>
      <c r="E13" s="40" t="s">
        <v>73</v>
      </c>
      <c r="F13" s="40" t="s">
        <v>19</v>
      </c>
      <c r="G13" s="44" t="s">
        <v>74</v>
      </c>
      <c r="H13" s="40" t="s">
        <v>75</v>
      </c>
      <c r="I13" s="40" t="s">
        <v>76</v>
      </c>
      <c r="J13" s="41" t="s">
        <v>77</v>
      </c>
      <c r="K13" s="40" t="s">
        <v>24</v>
      </c>
      <c r="L13" s="40" t="s">
        <v>25</v>
      </c>
      <c r="M13" s="40" t="s">
        <v>78</v>
      </c>
      <c r="N13" s="40" t="s">
        <v>79</v>
      </c>
      <c r="O13" s="40" t="s">
        <v>80</v>
      </c>
    </row>
    <row r="14" spans="1:15" ht="63.75" customHeight="1">
      <c r="B14" s="39" t="s">
        <v>81</v>
      </c>
      <c r="C14" s="40" t="s">
        <v>82</v>
      </c>
      <c r="D14" s="44" t="s">
        <v>83</v>
      </c>
      <c r="E14" s="40" t="s">
        <v>84</v>
      </c>
      <c r="F14" s="40" t="s">
        <v>19</v>
      </c>
      <c r="G14" s="44" t="s">
        <v>85</v>
      </c>
      <c r="H14" s="40" t="s">
        <v>75</v>
      </c>
      <c r="I14" s="40" t="s">
        <v>57</v>
      </c>
      <c r="J14" s="41" t="s">
        <v>77</v>
      </c>
      <c r="K14" s="40" t="s">
        <v>24</v>
      </c>
      <c r="L14" s="40" t="s">
        <v>25</v>
      </c>
      <c r="M14" s="40" t="s">
        <v>86</v>
      </c>
      <c r="N14" s="40" t="s">
        <v>87</v>
      </c>
      <c r="O14" s="40" t="s">
        <v>88</v>
      </c>
    </row>
    <row r="15" spans="1:15" ht="72" customHeight="1">
      <c r="B15" s="39" t="s">
        <v>89</v>
      </c>
      <c r="C15" s="40" t="s">
        <v>90</v>
      </c>
      <c r="D15" s="40" t="s">
        <v>90</v>
      </c>
      <c r="E15" s="40" t="s">
        <v>91</v>
      </c>
      <c r="F15" s="40" t="s">
        <v>19</v>
      </c>
      <c r="G15" s="44" t="s">
        <v>92</v>
      </c>
      <c r="H15" s="40" t="s">
        <v>21</v>
      </c>
      <c r="I15" s="40" t="s">
        <v>22</v>
      </c>
      <c r="J15" s="41" t="s">
        <v>77</v>
      </c>
      <c r="K15" s="40" t="s">
        <v>24</v>
      </c>
      <c r="L15" s="40" t="s">
        <v>25</v>
      </c>
      <c r="M15" s="40" t="s">
        <v>35</v>
      </c>
      <c r="N15" s="40" t="s">
        <v>93</v>
      </c>
      <c r="O15" s="40" t="s">
        <v>94</v>
      </c>
    </row>
    <row r="16" spans="1:15" ht="61.5" customHeight="1">
      <c r="B16" s="39" t="s">
        <v>95</v>
      </c>
      <c r="C16" s="40" t="s">
        <v>96</v>
      </c>
      <c r="D16" s="40" t="s">
        <v>97</v>
      </c>
      <c r="E16" s="40" t="s">
        <v>98</v>
      </c>
      <c r="F16" s="40" t="s">
        <v>19</v>
      </c>
      <c r="G16" s="44" t="s">
        <v>99</v>
      </c>
      <c r="H16" s="40" t="s">
        <v>100</v>
      </c>
      <c r="I16" s="40" t="s">
        <v>57</v>
      </c>
      <c r="J16" s="41" t="s">
        <v>101</v>
      </c>
      <c r="K16" s="40" t="s">
        <v>102</v>
      </c>
      <c r="L16" s="40" t="s">
        <v>25</v>
      </c>
      <c r="M16" s="40" t="s">
        <v>103</v>
      </c>
      <c r="N16" s="40" t="s">
        <v>104</v>
      </c>
      <c r="O16" s="40" t="s">
        <v>105</v>
      </c>
    </row>
    <row r="17" spans="2:15" ht="49.5">
      <c r="B17" s="39" t="s">
        <v>106</v>
      </c>
      <c r="C17" s="40" t="s">
        <v>107</v>
      </c>
      <c r="D17" s="40" t="s">
        <v>108</v>
      </c>
      <c r="E17" s="40" t="s">
        <v>109</v>
      </c>
      <c r="F17" s="40" t="s">
        <v>110</v>
      </c>
      <c r="G17" s="44" t="s">
        <v>111</v>
      </c>
      <c r="H17" s="40" t="s">
        <v>75</v>
      </c>
      <c r="I17" s="40" t="s">
        <v>112</v>
      </c>
      <c r="J17" s="41" t="s">
        <v>113</v>
      </c>
      <c r="K17" s="40" t="s">
        <v>24</v>
      </c>
      <c r="L17" s="40" t="s">
        <v>25</v>
      </c>
      <c r="M17" s="40" t="s">
        <v>114</v>
      </c>
      <c r="N17" s="40" t="s">
        <v>115</v>
      </c>
      <c r="O17" s="40" t="s">
        <v>116</v>
      </c>
    </row>
    <row r="18" spans="2:15" ht="79.5" customHeight="1">
      <c r="B18" s="39" t="s">
        <v>117</v>
      </c>
      <c r="C18" s="40" t="s">
        <v>118</v>
      </c>
      <c r="D18" s="40" t="s">
        <v>119</v>
      </c>
      <c r="E18" s="40" t="s">
        <v>120</v>
      </c>
      <c r="F18" s="40" t="s">
        <v>32</v>
      </c>
      <c r="G18" s="44" t="s">
        <v>121</v>
      </c>
      <c r="H18" s="40" t="s">
        <v>75</v>
      </c>
      <c r="I18" s="40" t="s">
        <v>22</v>
      </c>
      <c r="J18" s="41" t="s">
        <v>113</v>
      </c>
      <c r="K18" s="40" t="s">
        <v>24</v>
      </c>
      <c r="L18" s="40" t="s">
        <v>25</v>
      </c>
      <c r="M18" s="40" t="s">
        <v>122</v>
      </c>
      <c r="N18" s="40" t="s">
        <v>123</v>
      </c>
      <c r="O18" s="40" t="s">
        <v>124</v>
      </c>
    </row>
    <row r="19" spans="2:15" ht="57" customHeight="1">
      <c r="B19" s="39" t="s">
        <v>125</v>
      </c>
      <c r="C19" s="40" t="s">
        <v>126</v>
      </c>
      <c r="D19" s="40" t="s">
        <v>127</v>
      </c>
      <c r="E19" s="40" t="s">
        <v>128</v>
      </c>
      <c r="F19" s="40" t="s">
        <v>110</v>
      </c>
      <c r="G19" s="44" t="s">
        <v>129</v>
      </c>
      <c r="H19" s="40" t="s">
        <v>75</v>
      </c>
      <c r="I19" s="40" t="s">
        <v>112</v>
      </c>
      <c r="J19" s="41" t="s">
        <v>113</v>
      </c>
      <c r="K19" s="40" t="s">
        <v>24</v>
      </c>
      <c r="L19" s="40" t="s">
        <v>25</v>
      </c>
      <c r="M19" s="40" t="s">
        <v>130</v>
      </c>
      <c r="N19" s="40" t="s">
        <v>131</v>
      </c>
      <c r="O19" s="40" t="s">
        <v>132</v>
      </c>
    </row>
    <row r="20" spans="2:15" ht="49.5">
      <c r="B20" s="39" t="s">
        <v>133</v>
      </c>
      <c r="C20" s="40" t="s">
        <v>134</v>
      </c>
      <c r="D20" s="40" t="s">
        <v>135</v>
      </c>
      <c r="E20" s="40" t="s">
        <v>136</v>
      </c>
      <c r="F20" s="40" t="s">
        <v>110</v>
      </c>
      <c r="G20" s="44" t="s">
        <v>137</v>
      </c>
      <c r="H20" s="40" t="s">
        <v>75</v>
      </c>
      <c r="I20" s="40" t="s">
        <v>112</v>
      </c>
      <c r="J20" s="41" t="s">
        <v>138</v>
      </c>
      <c r="K20" s="40" t="s">
        <v>102</v>
      </c>
      <c r="L20" s="40" t="s">
        <v>25</v>
      </c>
      <c r="M20" s="40" t="s">
        <v>139</v>
      </c>
      <c r="N20" s="40" t="s">
        <v>140</v>
      </c>
      <c r="O20" s="40" t="s">
        <v>141</v>
      </c>
    </row>
    <row r="21" spans="2:15" ht="60.75" customHeight="1">
      <c r="B21" s="39" t="s">
        <v>142</v>
      </c>
      <c r="C21" s="40" t="s">
        <v>143</v>
      </c>
      <c r="D21" s="40" t="s">
        <v>144</v>
      </c>
      <c r="E21" s="40" t="s">
        <v>145</v>
      </c>
      <c r="F21" s="40" t="s">
        <v>19</v>
      </c>
      <c r="G21" s="40" t="s">
        <v>146</v>
      </c>
      <c r="H21" s="40" t="s">
        <v>75</v>
      </c>
      <c r="I21" s="40" t="s">
        <v>147</v>
      </c>
      <c r="J21" s="41" t="s">
        <v>138</v>
      </c>
      <c r="K21" s="40" t="s">
        <v>24</v>
      </c>
      <c r="L21" s="40" t="s">
        <v>25</v>
      </c>
      <c r="M21" s="44" t="s">
        <v>148</v>
      </c>
      <c r="N21" s="40" t="s">
        <v>149</v>
      </c>
      <c r="O21" s="46" t="s">
        <v>150</v>
      </c>
    </row>
    <row r="22" spans="2:15" ht="62.25" customHeight="1">
      <c r="B22" s="39" t="s">
        <v>151</v>
      </c>
      <c r="C22" s="40" t="s">
        <v>152</v>
      </c>
      <c r="D22" s="40" t="s">
        <v>153</v>
      </c>
      <c r="E22" s="40" t="s">
        <v>154</v>
      </c>
      <c r="F22" s="40" t="s">
        <v>19</v>
      </c>
      <c r="G22" s="40" t="s">
        <v>155</v>
      </c>
      <c r="H22" s="40" t="s">
        <v>100</v>
      </c>
      <c r="I22" s="40" t="s">
        <v>147</v>
      </c>
      <c r="J22" s="41" t="s">
        <v>138</v>
      </c>
      <c r="K22" s="40" t="s">
        <v>24</v>
      </c>
      <c r="L22" s="40" t="s">
        <v>25</v>
      </c>
      <c r="M22" s="40" t="s">
        <v>156</v>
      </c>
      <c r="N22" s="40" t="s">
        <v>157</v>
      </c>
      <c r="O22" s="46" t="s">
        <v>158</v>
      </c>
    </row>
    <row r="23" spans="2:15" ht="49.5">
      <c r="B23" s="39" t="s">
        <v>159</v>
      </c>
      <c r="C23" s="40" t="s">
        <v>160</v>
      </c>
      <c r="D23" s="40" t="s">
        <v>161</v>
      </c>
      <c r="E23" s="40" t="s">
        <v>162</v>
      </c>
      <c r="F23" s="40" t="s">
        <v>19</v>
      </c>
      <c r="G23" s="40" t="s">
        <v>163</v>
      </c>
      <c r="H23" s="40" t="s">
        <v>100</v>
      </c>
      <c r="I23" s="40" t="s">
        <v>147</v>
      </c>
      <c r="J23" s="41" t="s">
        <v>164</v>
      </c>
      <c r="K23" s="40" t="s">
        <v>24</v>
      </c>
      <c r="L23" s="40" t="s">
        <v>25</v>
      </c>
      <c r="M23" s="40" t="s">
        <v>148</v>
      </c>
      <c r="N23" s="40" t="s">
        <v>165</v>
      </c>
      <c r="O23" s="46" t="s">
        <v>150</v>
      </c>
    </row>
    <row r="24" spans="2:15" ht="75.75" customHeight="1">
      <c r="B24" s="39" t="s">
        <v>166</v>
      </c>
      <c r="C24" s="40" t="s">
        <v>167</v>
      </c>
      <c r="D24" s="40" t="s">
        <v>168</v>
      </c>
      <c r="E24" s="40" t="s">
        <v>169</v>
      </c>
      <c r="F24" s="40" t="s">
        <v>19</v>
      </c>
      <c r="G24" s="40" t="s">
        <v>170</v>
      </c>
      <c r="H24" s="40" t="s">
        <v>100</v>
      </c>
      <c r="I24" s="40" t="s">
        <v>57</v>
      </c>
      <c r="J24" s="41" t="s">
        <v>164</v>
      </c>
      <c r="K24" s="40" t="s">
        <v>24</v>
      </c>
      <c r="L24" s="40" t="s">
        <v>25</v>
      </c>
      <c r="M24" s="40" t="s">
        <v>171</v>
      </c>
      <c r="N24" s="40" t="s">
        <v>172</v>
      </c>
      <c r="O24" s="46" t="s">
        <v>173</v>
      </c>
    </row>
    <row r="25" spans="2:15" ht="75.75" customHeight="1">
      <c r="B25" s="39" t="s">
        <v>174</v>
      </c>
      <c r="C25" s="40" t="s">
        <v>175</v>
      </c>
      <c r="D25" s="40" t="s">
        <v>176</v>
      </c>
      <c r="E25" s="40" t="s">
        <v>177</v>
      </c>
      <c r="F25" s="40" t="s">
        <v>19</v>
      </c>
      <c r="G25" s="40" t="s">
        <v>178</v>
      </c>
      <c r="H25" s="40" t="s">
        <v>100</v>
      </c>
      <c r="I25" s="40" t="s">
        <v>57</v>
      </c>
      <c r="J25" s="41" t="s">
        <v>179</v>
      </c>
      <c r="K25" s="40" t="s">
        <v>24</v>
      </c>
      <c r="L25" s="40" t="s">
        <v>25</v>
      </c>
      <c r="M25" s="40" t="s">
        <v>180</v>
      </c>
      <c r="N25" s="40" t="s">
        <v>181</v>
      </c>
      <c r="O25" s="46" t="s">
        <v>182</v>
      </c>
    </row>
    <row r="26" spans="2:15" ht="75.75" customHeight="1">
      <c r="B26" s="39" t="s">
        <v>183</v>
      </c>
      <c r="C26" s="40" t="s">
        <v>184</v>
      </c>
      <c r="D26" s="40" t="s">
        <v>185</v>
      </c>
      <c r="E26" s="40" t="s">
        <v>186</v>
      </c>
      <c r="F26" s="40" t="s">
        <v>19</v>
      </c>
      <c r="G26" s="40" t="s">
        <v>187</v>
      </c>
      <c r="H26" s="40" t="s">
        <v>100</v>
      </c>
      <c r="I26" s="40" t="s">
        <v>22</v>
      </c>
      <c r="J26" s="41" t="s">
        <v>188</v>
      </c>
      <c r="K26" s="40" t="s">
        <v>102</v>
      </c>
      <c r="L26" s="40" t="s">
        <v>25</v>
      </c>
      <c r="M26" s="40" t="s">
        <v>189</v>
      </c>
      <c r="N26" s="40" t="s">
        <v>190</v>
      </c>
      <c r="O26" s="46" t="s">
        <v>191</v>
      </c>
    </row>
    <row r="27" spans="2:15" ht="49.5">
      <c r="B27" s="39" t="s">
        <v>192</v>
      </c>
      <c r="C27" s="40" t="s">
        <v>193</v>
      </c>
      <c r="D27" s="40" t="s">
        <v>194</v>
      </c>
      <c r="E27" s="40" t="s">
        <v>195</v>
      </c>
      <c r="F27" s="40" t="s">
        <v>19</v>
      </c>
      <c r="G27" s="40" t="s">
        <v>196</v>
      </c>
      <c r="H27" s="40" t="s">
        <v>21</v>
      </c>
      <c r="I27" s="40" t="s">
        <v>34</v>
      </c>
      <c r="J27" s="41" t="s">
        <v>197</v>
      </c>
      <c r="K27" s="40" t="s">
        <v>198</v>
      </c>
      <c r="L27" s="40" t="s">
        <v>25</v>
      </c>
      <c r="M27" s="40" t="s">
        <v>26</v>
      </c>
      <c r="N27" s="40" t="s">
        <v>199</v>
      </c>
      <c r="O27" s="46" t="s">
        <v>200</v>
      </c>
    </row>
    <row r="28" spans="2:15" ht="60" customHeight="1">
      <c r="B28" s="39" t="s">
        <v>201</v>
      </c>
      <c r="C28" s="40" t="s">
        <v>202</v>
      </c>
      <c r="D28" s="40" t="s">
        <v>203</v>
      </c>
      <c r="E28" s="40" t="s">
        <v>204</v>
      </c>
      <c r="F28" s="40" t="s">
        <v>19</v>
      </c>
      <c r="G28" s="40" t="s">
        <v>205</v>
      </c>
      <c r="H28" s="40" t="s">
        <v>21</v>
      </c>
      <c r="I28" s="40" t="s">
        <v>34</v>
      </c>
      <c r="J28" s="41" t="s">
        <v>206</v>
      </c>
      <c r="K28" s="40" t="s">
        <v>198</v>
      </c>
      <c r="L28" s="40" t="s">
        <v>25</v>
      </c>
      <c r="M28" s="40" t="s">
        <v>207</v>
      </c>
      <c r="N28" s="40" t="s">
        <v>208</v>
      </c>
      <c r="O28" s="46" t="s">
        <v>209</v>
      </c>
    </row>
    <row r="29" spans="2:15" ht="63" customHeight="1">
      <c r="B29" s="39" t="s">
        <v>210</v>
      </c>
      <c r="C29" s="40" t="s">
        <v>211</v>
      </c>
      <c r="D29" s="40" t="s">
        <v>212</v>
      </c>
      <c r="E29" s="40" t="s">
        <v>213</v>
      </c>
      <c r="F29" s="40" t="s">
        <v>19</v>
      </c>
      <c r="G29" s="40" t="s">
        <v>214</v>
      </c>
      <c r="H29" s="40" t="s">
        <v>100</v>
      </c>
      <c r="I29" s="40" t="s">
        <v>22</v>
      </c>
      <c r="J29" s="41" t="s">
        <v>206</v>
      </c>
      <c r="K29" s="40" t="s">
        <v>198</v>
      </c>
      <c r="L29" s="40" t="s">
        <v>25</v>
      </c>
      <c r="M29" s="40" t="s">
        <v>215</v>
      </c>
      <c r="N29" s="40" t="s">
        <v>216</v>
      </c>
      <c r="O29" s="46" t="s">
        <v>217</v>
      </c>
    </row>
    <row r="30" spans="2:15" ht="19.5" customHeight="1"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2"/>
    </row>
    <row r="31" spans="2:15" ht="19.5" customHeight="1"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</row>
    <row r="32" spans="2:15" ht="19.5" customHeight="1">
      <c r="B32" s="2"/>
      <c r="C32" s="2"/>
      <c r="D32" s="2"/>
      <c r="E32" s="2"/>
      <c r="F32" s="2"/>
      <c r="G32" s="2"/>
      <c r="H32" s="2"/>
      <c r="I32" s="3"/>
      <c r="J32" s="2"/>
      <c r="K32" s="4" t="s">
        <v>24</v>
      </c>
      <c r="L32" s="4" t="s">
        <v>25</v>
      </c>
      <c r="M32" s="2"/>
      <c r="N32" s="2"/>
      <c r="O32" s="2"/>
    </row>
    <row r="33" spans="2:15" ht="19.5" customHeight="1">
      <c r="B33" s="2"/>
      <c r="C33" s="2"/>
      <c r="D33" s="2"/>
      <c r="E33" s="2"/>
      <c r="F33" s="2"/>
      <c r="G33" s="2"/>
      <c r="H33" s="2"/>
      <c r="I33" s="3"/>
      <c r="J33" s="2"/>
      <c r="K33" s="4" t="s">
        <v>102</v>
      </c>
      <c r="L33" s="4" t="s">
        <v>218</v>
      </c>
      <c r="M33" s="2"/>
      <c r="N33" s="2"/>
      <c r="O33" s="2"/>
    </row>
    <row r="34" spans="2:15" ht="19.5" customHeight="1">
      <c r="B34" s="2"/>
      <c r="C34" s="2"/>
      <c r="D34" s="2"/>
      <c r="E34" s="2"/>
      <c r="F34" s="2"/>
      <c r="G34" s="2"/>
      <c r="H34" s="2"/>
      <c r="I34" s="3"/>
      <c r="J34" s="2"/>
      <c r="K34" s="4" t="s">
        <v>198</v>
      </c>
      <c r="L34" s="4" t="s">
        <v>219</v>
      </c>
      <c r="M34" s="2"/>
      <c r="N34" s="2"/>
      <c r="O34" s="2"/>
    </row>
    <row r="35" spans="2:15" ht="19.5" customHeight="1">
      <c r="B35" s="2"/>
      <c r="C35" s="2"/>
      <c r="D35" s="2"/>
      <c r="E35" s="2"/>
      <c r="F35" s="2"/>
      <c r="G35" s="2"/>
      <c r="H35" s="2"/>
      <c r="I35" s="3"/>
      <c r="J35" s="2"/>
      <c r="K35" s="4"/>
      <c r="L35" s="4" t="s">
        <v>220</v>
      </c>
      <c r="M35" s="2"/>
      <c r="N35" s="2"/>
      <c r="O35" s="2"/>
    </row>
    <row r="36" spans="2:15" ht="19.5" customHeight="1"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2"/>
    </row>
    <row r="37" spans="2:15" ht="19.5" customHeight="1"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</row>
    <row r="38" spans="2:15" ht="15.75" customHeight="1"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</row>
    <row r="39" spans="2:15" ht="15.75" customHeight="1"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</row>
    <row r="40" spans="2:15" ht="15.75" customHeight="1">
      <c r="B40" s="2"/>
      <c r="C40" s="2"/>
      <c r="D40" s="2"/>
      <c r="E40" s="2"/>
      <c r="F40" s="2"/>
      <c r="G40" s="2"/>
      <c r="H40" s="2"/>
      <c r="I40" s="3"/>
      <c r="J40" s="3"/>
      <c r="K40" s="4"/>
      <c r="L40" s="3"/>
      <c r="M40" s="2"/>
      <c r="N40" s="2"/>
      <c r="O40" s="2"/>
    </row>
    <row r="41" spans="2:15" ht="15.75" customHeight="1">
      <c r="B41" s="2"/>
      <c r="C41" s="2"/>
      <c r="D41" s="2"/>
      <c r="E41" s="2"/>
      <c r="F41" s="2"/>
      <c r="G41" s="2"/>
      <c r="H41" s="2"/>
      <c r="I41" s="3"/>
      <c r="J41" s="3"/>
      <c r="K41" s="4"/>
      <c r="L41" s="3"/>
      <c r="M41" s="2"/>
      <c r="N41" s="2"/>
      <c r="O41" s="2"/>
    </row>
    <row r="42" spans="2:15" ht="15.75" customHeight="1">
      <c r="B42" s="2"/>
      <c r="C42" s="2"/>
      <c r="D42" s="2"/>
      <c r="E42" s="2"/>
      <c r="F42" s="2"/>
      <c r="G42" s="2"/>
      <c r="H42" s="2"/>
      <c r="I42" s="3"/>
      <c r="J42" s="3"/>
      <c r="K42" s="4"/>
      <c r="L42" s="3"/>
      <c r="M42" s="2"/>
      <c r="N42" s="2"/>
      <c r="O42" s="2"/>
    </row>
    <row r="43" spans="2:15" ht="15.75" customHeight="1">
      <c r="B43" s="2"/>
      <c r="C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</row>
    <row r="44" spans="2:15" ht="15.75" customHeight="1">
      <c r="B44" s="2"/>
      <c r="C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</row>
    <row r="45" spans="2:15" ht="15.75" customHeight="1">
      <c r="B45" s="2"/>
      <c r="C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</row>
    <row r="46" spans="2:15" ht="15.75" customHeight="1">
      <c r="B46" s="2"/>
      <c r="C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</row>
    <row r="47" spans="2:15" ht="15.75" customHeight="1">
      <c r="B47" s="2"/>
      <c r="C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</row>
    <row r="48" spans="2:15" ht="15.75" customHeight="1">
      <c r="B48" s="2"/>
      <c r="C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</row>
    <row r="49" spans="2:15" ht="15.75" customHeight="1">
      <c r="B49" s="2"/>
      <c r="C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</row>
    <row r="50" spans="2:15" ht="15.75" customHeight="1">
      <c r="B50" s="2"/>
      <c r="C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</row>
    <row r="51" spans="2:15" ht="15.75" customHeight="1">
      <c r="B51" s="2"/>
      <c r="C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</row>
    <row r="52" spans="2:15" ht="15.75" customHeight="1">
      <c r="B52" s="2"/>
      <c r="C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</row>
    <row r="53" spans="2:15" ht="15.75" customHeight="1">
      <c r="B53" s="2"/>
      <c r="C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</row>
    <row r="54" spans="2:15" ht="15.75" customHeight="1">
      <c r="B54" s="2"/>
      <c r="C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</row>
    <row r="55" spans="2:15" ht="15.75" customHeight="1">
      <c r="B55" s="2"/>
      <c r="C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</row>
    <row r="56" spans="2:15" ht="15.75" customHeight="1">
      <c r="B56" s="2"/>
      <c r="C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</row>
    <row r="57" spans="2:15" ht="15.75" customHeight="1">
      <c r="B57" s="2"/>
      <c r="C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</row>
    <row r="58" spans="2:15" ht="15.75" customHeight="1">
      <c r="B58" s="2"/>
      <c r="C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</row>
    <row r="59" spans="2:15" ht="15.75" customHeight="1">
      <c r="B59" s="2"/>
      <c r="C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</row>
    <row r="60" spans="2:15" ht="15.75" customHeight="1">
      <c r="B60" s="2"/>
      <c r="C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</row>
    <row r="61" spans="2:15" ht="15.75" customHeight="1">
      <c r="B61" s="2"/>
      <c r="C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</row>
    <row r="62" spans="2:15" ht="15.75" customHeight="1">
      <c r="B62" s="2"/>
      <c r="C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</row>
    <row r="63" spans="2:15" ht="15.75" customHeight="1">
      <c r="B63" s="2"/>
      <c r="C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</row>
    <row r="64" spans="2:15" ht="15.75" customHeight="1"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</row>
    <row r="65" spans="2:15" ht="15.75" customHeight="1"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</row>
    <row r="66" spans="2:15" ht="15.75" customHeight="1"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</row>
    <row r="67" spans="2:15" ht="15.75" customHeight="1"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</row>
    <row r="68" spans="2:15" ht="15.75" customHeight="1"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</row>
    <row r="69" spans="2:15" ht="15.75" customHeight="1"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</row>
    <row r="70" spans="2:15" ht="15.75" customHeight="1"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</row>
    <row r="71" spans="2:15" ht="15.75" customHeight="1"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</row>
    <row r="72" spans="2:15" ht="15.75" customHeight="1"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</row>
    <row r="73" spans="2:15" ht="15.75" customHeight="1"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</row>
    <row r="74" spans="2:15" ht="15.75" customHeight="1"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</row>
    <row r="75" spans="2:15" ht="15.75" customHeight="1"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</row>
    <row r="76" spans="2:15" ht="15.75" customHeight="1"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</row>
    <row r="77" spans="2:15" ht="15.75" customHeight="1"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</row>
    <row r="78" spans="2:15" ht="15.75" customHeight="1"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</row>
    <row r="79" spans="2:15" ht="15.75" customHeight="1"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</row>
    <row r="80" spans="2:15" ht="15.75" customHeight="1"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</row>
    <row r="81" spans="2:15" ht="15.75" customHeight="1"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</row>
    <row r="82" spans="2:15" ht="15.75" customHeight="1"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</row>
    <row r="83" spans="2:15" ht="15.75" customHeight="1"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</row>
    <row r="84" spans="2:15" ht="15.75" customHeight="1"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</row>
    <row r="85" spans="2:15" ht="15.75" customHeight="1"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</row>
    <row r="86" spans="2:15" ht="15.75" customHeight="1"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</row>
    <row r="87" spans="2:15" ht="15.75" customHeight="1"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</row>
    <row r="88" spans="2:15" ht="15.75" customHeight="1"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</row>
    <row r="89" spans="2:15" ht="15.75" customHeight="1"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</row>
    <row r="90" spans="2:15" ht="15.75" customHeight="1"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</row>
    <row r="91" spans="2:15" ht="15.75" customHeight="1"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</row>
    <row r="92" spans="2:15" ht="15.75" customHeight="1"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</row>
    <row r="93" spans="2:15" ht="15.75" customHeight="1"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</row>
    <row r="94" spans="2:15" ht="15.75" customHeight="1"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</row>
    <row r="95" spans="2:15" ht="15.75" customHeight="1"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</row>
    <row r="96" spans="2:15" ht="15.75" customHeight="1"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</row>
    <row r="97" spans="2:15" ht="15.75" customHeight="1"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</row>
    <row r="98" spans="2:15" ht="15.75" customHeight="1"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</row>
    <row r="99" spans="2:15" ht="15.75" customHeight="1"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</row>
    <row r="100" spans="2:15" ht="15.75" customHeight="1"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</row>
    <row r="101" spans="2:15" ht="15.75" customHeight="1"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</row>
    <row r="102" spans="2:15" ht="15.75" customHeight="1"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</row>
    <row r="103" spans="2:15" ht="15.75" customHeight="1"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</row>
    <row r="104" spans="2:15" ht="15.75" customHeight="1"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</row>
    <row r="105" spans="2:15" ht="15.75" customHeight="1"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</row>
    <row r="106" spans="2:15" ht="15.75" customHeight="1"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</row>
    <row r="107" spans="2:15" ht="15.75" customHeight="1"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</row>
    <row r="108" spans="2:15" ht="15.75" customHeight="1"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</row>
    <row r="109" spans="2:15" ht="15.75" customHeight="1"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</row>
    <row r="110" spans="2:15" ht="15.75" customHeight="1"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</row>
    <row r="111" spans="2:15" ht="15.75" customHeight="1"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</row>
    <row r="112" spans="2:15" ht="15.75" customHeight="1"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</row>
    <row r="113" spans="2:15" ht="15.75" customHeight="1"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</row>
    <row r="114" spans="2:15" ht="15.75" customHeight="1"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</row>
    <row r="115" spans="2:15" ht="15.75" customHeight="1"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</row>
    <row r="116" spans="2:15" ht="15.75" customHeight="1"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</row>
    <row r="117" spans="2:15" ht="15.75" customHeight="1"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</row>
    <row r="118" spans="2:15" ht="15.75" customHeight="1"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</row>
    <row r="119" spans="2:15" ht="15.75" customHeight="1"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</row>
    <row r="120" spans="2:15" ht="15.75" customHeight="1"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</row>
    <row r="121" spans="2:15" ht="15.75" customHeight="1"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</row>
    <row r="122" spans="2:15" ht="15.75" customHeight="1"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</row>
    <row r="123" spans="2:15" ht="15.75" customHeight="1"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</row>
    <row r="124" spans="2:15" ht="15.75" customHeight="1"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</row>
    <row r="125" spans="2:15" ht="15.75" customHeight="1"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</row>
    <row r="126" spans="2:15" ht="15.75" customHeight="1"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</row>
    <row r="127" spans="2:15" ht="15.75" customHeight="1"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</row>
    <row r="128" spans="2:15" ht="15.75" customHeight="1"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</row>
    <row r="129" spans="2:15" ht="15.75" customHeight="1"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</row>
    <row r="130" spans="2:15" ht="15.75" customHeight="1"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</row>
    <row r="131" spans="2:15" ht="15.75" customHeight="1"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</row>
    <row r="132" spans="2:15" ht="15.75" customHeight="1"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</row>
    <row r="133" spans="2:15" ht="15.75" customHeight="1"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</row>
    <row r="134" spans="2:15" ht="15.75" customHeight="1"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</row>
    <row r="135" spans="2:15" ht="15.75" customHeight="1"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</row>
    <row r="136" spans="2:15" ht="15.75" customHeight="1"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</row>
    <row r="137" spans="2:15" ht="15.75" customHeight="1"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</row>
    <row r="138" spans="2:15" ht="15.75" customHeight="1"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</row>
    <row r="139" spans="2:15" ht="15.75" customHeight="1"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</row>
    <row r="140" spans="2:15" ht="15.75" customHeight="1"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</row>
    <row r="141" spans="2:15" ht="15.75" customHeight="1"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</row>
    <row r="142" spans="2:15" ht="15.75" customHeight="1"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</row>
    <row r="143" spans="2:15" ht="15.75" customHeight="1"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</row>
    <row r="144" spans="2:15" ht="15.75" customHeight="1"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</row>
    <row r="145" spans="2:15" ht="15.75" customHeight="1"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</row>
    <row r="146" spans="2:15" ht="15.75" customHeight="1"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</row>
    <row r="147" spans="2:15" ht="15.75" customHeight="1"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</row>
    <row r="148" spans="2:15" ht="15.75" customHeight="1"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</row>
    <row r="149" spans="2:15" ht="15.75" customHeight="1"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</row>
    <row r="150" spans="2:15" ht="15.75" customHeight="1"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</row>
    <row r="151" spans="2:15" ht="15.75" customHeight="1"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</row>
    <row r="152" spans="2:15" ht="15.75" customHeight="1"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</row>
    <row r="153" spans="2:15" ht="15.75" customHeight="1"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</row>
    <row r="154" spans="2:15" ht="15.75" customHeight="1"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</row>
    <row r="155" spans="2:15" ht="15.75" customHeight="1"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</row>
    <row r="156" spans="2:15" ht="15.75" customHeight="1"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</row>
    <row r="157" spans="2:15" ht="15.75" customHeight="1"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</row>
    <row r="158" spans="2:15" ht="15.75" customHeight="1"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</row>
    <row r="159" spans="2:15" ht="15.75" customHeight="1"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</row>
    <row r="160" spans="2:15" ht="15.75" customHeight="1"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</row>
    <row r="161" spans="2:15" ht="15.75" customHeight="1"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</row>
    <row r="162" spans="2:15" ht="15.75" customHeight="1"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</row>
    <row r="163" spans="2:15" ht="15.75" customHeight="1"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</row>
    <row r="164" spans="2:15" ht="15.75" customHeight="1"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</row>
    <row r="165" spans="2:15" ht="15.75" customHeight="1"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</row>
    <row r="166" spans="2:15" ht="15.75" customHeight="1"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</row>
    <row r="167" spans="2:15" ht="15.75" customHeight="1"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</row>
    <row r="168" spans="2:15" ht="15.75" customHeight="1"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</row>
    <row r="169" spans="2:15" ht="15.75" customHeight="1"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</row>
    <row r="170" spans="2:15" ht="15.75" customHeight="1"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</row>
    <row r="171" spans="2:15" ht="15.75" customHeight="1"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</row>
    <row r="172" spans="2:15" ht="15.75" customHeight="1"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</row>
    <row r="173" spans="2:15" ht="15.75" customHeight="1"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</row>
    <row r="174" spans="2:15" ht="15.75" customHeight="1"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</row>
    <row r="175" spans="2:15" ht="15.75" customHeight="1"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</row>
    <row r="176" spans="2:15" ht="15.75" customHeight="1"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</row>
    <row r="177" spans="2:15" ht="15.75" customHeight="1"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</row>
    <row r="178" spans="2:15" ht="15.75" customHeight="1"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</row>
    <row r="179" spans="2:15" ht="15.75" customHeight="1"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</row>
    <row r="180" spans="2:15" ht="15.75" customHeight="1"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</row>
    <row r="181" spans="2:15" ht="15.75" customHeight="1"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</row>
    <row r="182" spans="2:15" ht="15.75" customHeight="1"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</row>
    <row r="183" spans="2:15" ht="15.75" customHeight="1"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</row>
    <row r="184" spans="2:15" ht="15.75" customHeight="1"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</row>
    <row r="185" spans="2:15" ht="15.75" customHeight="1"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</row>
    <row r="186" spans="2:15" ht="15.75" customHeight="1"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</row>
    <row r="187" spans="2:15" ht="15.75" customHeight="1"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</row>
    <row r="188" spans="2:15" ht="15.75" customHeight="1"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</row>
    <row r="189" spans="2:15" ht="15.75" customHeight="1"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</row>
    <row r="190" spans="2:15" ht="15.75" customHeight="1"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</row>
    <row r="191" spans="2:15" ht="15.75" customHeight="1"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</row>
    <row r="192" spans="2:15" ht="15.75" customHeight="1"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</row>
    <row r="193" spans="2:15" ht="15.75" customHeight="1"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</row>
    <row r="194" spans="2:15" ht="15.75" customHeight="1"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</row>
    <row r="195" spans="2:15" ht="15.75" customHeight="1"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</row>
    <row r="196" spans="2:15" ht="15.75" customHeight="1"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</row>
    <row r="197" spans="2:15" ht="15.75" customHeight="1"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</row>
    <row r="198" spans="2:15" ht="15.75" customHeight="1"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</row>
    <row r="199" spans="2:15" ht="15.75" customHeight="1"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</row>
    <row r="200" spans="2:15" ht="15.75" customHeight="1"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</row>
    <row r="201" spans="2:15" ht="15.75" customHeight="1"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</row>
    <row r="202" spans="2:15" ht="15.75" customHeight="1"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</row>
    <row r="203" spans="2:15" ht="15.75" customHeight="1"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</row>
    <row r="204" spans="2:15" ht="15.75" customHeight="1"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</row>
    <row r="205" spans="2:15" ht="15.75" customHeight="1"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</row>
    <row r="206" spans="2:15" ht="15.75" customHeight="1"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</row>
    <row r="207" spans="2:15" ht="15.75" customHeight="1"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</row>
    <row r="208" spans="2:15" ht="15.75" customHeight="1"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</row>
    <row r="209" spans="2:15" ht="15.75" customHeight="1"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</row>
    <row r="210" spans="2:15" ht="15.75" customHeight="1"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</row>
    <row r="211" spans="2:15" ht="15.75" customHeight="1"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</row>
    <row r="212" spans="2:15" ht="15.75" customHeight="1"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</row>
    <row r="213" spans="2:15" ht="15.75" customHeight="1"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</row>
    <row r="214" spans="2:15" ht="15.75" customHeight="1"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</row>
    <row r="215" spans="2:15" ht="15.75" customHeight="1"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</row>
    <row r="216" spans="2:15" ht="15.75" customHeight="1"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</row>
    <row r="217" spans="2:15" ht="15.75" customHeight="1"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</row>
    <row r="218" spans="2:15" ht="15.75" customHeight="1"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</row>
    <row r="219" spans="2:15" ht="15.75" customHeight="1"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</row>
    <row r="220" spans="2:15" ht="15.75" customHeight="1"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</row>
    <row r="221" spans="2:15" ht="15.75" customHeight="1"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</row>
    <row r="222" spans="2:15" ht="15.75" customHeight="1"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</row>
    <row r="223" spans="2:15" ht="15.75" customHeight="1"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</row>
    <row r="224" spans="2:15" ht="15.75" customHeight="1"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</row>
    <row r="225" spans="2:15" ht="15.75" customHeight="1"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</row>
    <row r="226" spans="2:15" ht="15.75" customHeight="1"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</row>
    <row r="227" spans="2:15" ht="15.75" customHeight="1"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</row>
    <row r="228" spans="2:15" ht="15.75" customHeight="1"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</row>
    <row r="229" spans="2:15" ht="15.75" customHeight="1"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</row>
    <row r="230" spans="2:15" ht="15.75" customHeight="1"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</row>
    <row r="231" spans="2:15" ht="15.75" customHeight="1"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</row>
    <row r="232" spans="2:15" ht="15.75" customHeight="1"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</row>
    <row r="233" spans="2:15" ht="15.75" customHeight="1"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</row>
    <row r="234" spans="2:15" ht="15.75" customHeight="1"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</row>
    <row r="235" spans="2:15" ht="15.75" customHeight="1"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</row>
    <row r="236" spans="2:15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2:15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2:15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2:15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2:15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2:15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2:15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2:15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2:15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2:15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2:15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2:15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2:15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2:15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2:15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2:15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2:15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2:15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2:15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2:15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2:15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2:15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2:15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2:15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2:15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2:15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2:15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2:15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2:15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2:1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2:15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2:15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2:15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2:15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2:15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2:15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2:15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2:15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2:15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2:1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2:15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2:15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2:15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2:15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2:15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2:15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2:15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2:15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2:15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2:1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2:15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2:15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2:15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2:15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2:15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2:15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2:15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2:15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2:15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2:1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2:15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2:15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2:15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2:15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2:15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2:15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2:15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2:15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2:15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2:1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2:15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2:15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2:15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2:15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2:15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2:15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2:15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2:15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2:15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2: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2:15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2:15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2:15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2:15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2:15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2:15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2:15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2:15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2:15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2:1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2:15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2:15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2:15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2:15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2:15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2:15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2:15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2:15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2:15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2:1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2:15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2:15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2:15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2:15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2:15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2:15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2:15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2:15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2:15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2:1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2:15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2:15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2:15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2:15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2:15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2:15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2:15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2:15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2:15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2:1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2:15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2:15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2:15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2:15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2:15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2:15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2:15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2:15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2:15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2:1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2:15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2:15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2:15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2:15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2:15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2:15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2:15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2:15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2:15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2:1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2:15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2:15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2:15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2:15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2:15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2:15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2:15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2:15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2:15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2:1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2:15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2:15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2:15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2:15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2:15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2:15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2:15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2:15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2:15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2:1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2:15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2:15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2:15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2:15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2:15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2:15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2:15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2:15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2:15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2:1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2:15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2:15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2:15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2:15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2:15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2:15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2:15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2:15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2:15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2: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2:15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2:15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2:15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2:15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2:15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2:15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2:15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2:15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2:15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2:1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2:15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2:15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2:15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2:15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2:15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2:15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2:15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2:15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2:15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2:1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2:15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2:15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2:15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2:15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2:15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2:15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2:15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2:15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2:15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2:1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2:15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2:15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2:15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2:15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2:15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2:15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2:15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2:15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2:15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2:1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2:15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2:15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2:15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2:15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2:15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2:15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2:15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2:15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2:15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2:15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2:15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2:15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2:15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2:15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2:15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2:15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2:15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2:15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2:15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2:15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2:15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2:15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2:15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2:15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2:15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2:15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2:15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2:15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2:15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2:15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2:15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2:15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2:15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2:15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2:15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2:15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2:15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2:15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2:15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2:15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2:15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2:15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2:15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2:15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2:15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2:15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2:15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2:15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2:15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2:15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2:15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2:15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2:15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2:15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2:15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2:15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2:15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2:15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2:15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2:15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2:15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2:15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2:15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2:15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2:15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2:15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2:15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2:15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2:15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2:15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2:15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2:15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2:15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2:15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2:15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2:15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2:15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2:15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2:15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2:15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2:15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2:15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2:15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2:15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2:15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2:15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2:15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2:15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2:15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2:15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2:15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2:15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2:15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2:15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2:15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2:15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2:15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2:15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2:15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2:15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2:15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2:15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2:15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2:15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2:15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2:15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2:15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2:15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2:15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2:15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2:15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2:15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2:15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2:15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2:15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2:15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2:15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2:15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2:15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2:15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2:15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2:15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2:15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2:15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2:15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2:15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2:15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2:15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2:15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2:15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2:15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2:15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2:15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2:15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2:15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2:15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2:15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2:15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2:15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2:15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2:15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2:15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2:15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2:15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2:15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2:15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2:15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2:15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2:15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2:15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2:15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2:15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2:15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2:15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2:15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2:15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2:15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2:15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2:15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2:15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2:15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2:15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2:15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2:15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2:15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2:15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2:15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2:15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2:15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2:15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2:15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2:15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2:15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2:15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2:15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2:15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2:15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2:15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2:15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2:15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2:15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2:15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2:15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2:15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2:15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2:15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2:15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2:15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2:15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2:15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2:15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2:15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2:15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2:15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2:15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2:15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2:15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2:15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2:15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2:15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2:15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2:15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2:15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2:15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2:15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2:15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2:15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2:15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2:15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2:15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2:15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2:15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2:15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2:15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2:15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2:15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2:15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2:15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2:15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2:15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2:15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2:15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2:15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2:15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2:15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2:15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2:15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2:15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2:15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2:15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2:15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2:15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2:15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2:15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2:15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2:15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2:15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2:15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2:15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2:15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2:15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2:15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2:15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2:15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2:15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2:15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2:15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2:15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2:15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2:15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2:15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2:15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2:15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2:15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2:15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2:15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2:15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2:15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2:15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2:15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2:15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2:15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2:15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2:15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2:15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2:15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2:15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2:15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2:15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2:15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2:15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2:15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2:15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2:15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2:15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2:15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2:15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2:15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2:15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2:15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2:15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2:15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2:15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2:15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2:15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2:15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2:15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2:15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2:15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2:15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2:15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2:15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2:15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2:15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2:15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2:15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2:15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2:15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2:15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2:15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2:15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2:15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2:15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2:15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2:15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2:15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2:15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2:15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2:15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2:15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2:15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2:15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2:15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2:15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2:15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2:15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2:15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2:15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2:15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2:15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2:15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2:15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2:15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2:15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2:15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2:15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2:15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2:15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2:15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2:15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2:15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2:15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2:15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2:15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2:15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2:15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2:15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2:15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2:15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2:15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2:15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2:15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2:15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2:15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2:15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2:15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2:15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2:15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2:15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2:15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2:15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2:15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2:15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2:15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2:15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2:15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2:15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2:15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2:15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2:15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2:15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2:15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2:15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2:15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2:15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2:15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2:15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2:15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2:15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2:15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2:15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2:15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2:15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2:15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2:15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2:15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2:15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2:15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2:15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2:15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2:15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2:15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2:15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2:15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2:15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2:15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2:15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2:15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2:15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2:15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2:15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2:15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2:15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2:15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2:15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2:15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2:15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2:15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2:15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2:15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2:15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2:15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2:15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2:15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2:15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2:15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2:15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2:15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2:15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2:15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2:15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2:15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2:15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2:15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2:15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2:15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2:15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2:15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2:15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2:15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2:15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2:15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2:15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2:15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2:15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2:15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2:15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2:15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2:15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2:15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2:15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2:15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2:15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2:15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2:15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2:15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2:15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2:15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2:15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2:15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2:15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2:15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2:15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2:15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2:15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2:15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2:15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2:15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2:15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2:15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2:15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2:15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2:15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2:15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2:15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2:15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2:15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2:15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2:15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2:15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2:15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2:15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2:15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2:15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2:15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2:15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2:15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2:15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2:15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2:15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2:15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2:15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2:15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2:15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2:15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2:15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2:15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2:15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2:15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2:15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2:15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2:15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2:15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2:15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2:15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2:15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2:15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2:15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2:15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2:15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2:15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2:15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2:15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2:15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2:15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2:15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2:15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2:15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2:15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2:15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2:15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2:15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2:15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2:15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2:15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2:15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2:15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2:15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2:15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2:15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2:15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2:15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2:15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2:15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2:15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2:15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2:15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2:15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2:15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2:15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2:15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2:15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2:15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2:15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2:15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2:15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2:15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2:15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2:15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2:15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2:15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2:15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2:15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2:15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2:15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2:15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2:15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2:15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2:15" ht="15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2:15" ht="15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2:15" ht="15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2:15" ht="15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2:15" ht="15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2:15" ht="15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2:15" ht="15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2:15" ht="15.75" customHeight="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</sheetData>
  <mergeCells count="1">
    <mergeCell ref="B3:O3"/>
  </mergeCells>
  <conditionalFormatting sqref="L6:L29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:L29">
    <cfRule type="colorScale" priority="3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9" xr:uid="{00000000-0002-0000-0000-000000000000}">
      <formula1>$L$32:$L$35</formula1>
      <formula2>0</formula2>
    </dataValidation>
    <dataValidation type="list" allowBlank="1" showErrorMessage="1" sqref="K6:K29" xr:uid="{00000000-0002-0000-0000-000001000000}">
      <formula1>$K$32:$K$34</formula1>
      <formula2>0</formula2>
    </dataValidation>
  </dataValidations>
  <printOptions horizontalCentered="1"/>
  <pageMargins left="0.7" right="0.7" top="0.75" bottom="0.75" header="0.3" footer="0.3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tabSelected="1" zoomScaleNormal="100" workbookViewId="0">
      <selection activeCell="C10" sqref="C10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6"/>
      <c r="D4" s="6"/>
      <c r="E4" s="6"/>
      <c r="F4" s="7"/>
    </row>
    <row r="5" spans="2:16" hidden="1">
      <c r="C5" s="6"/>
      <c r="D5" s="6"/>
      <c r="E5" s="6"/>
      <c r="F5" s="7"/>
    </row>
    <row r="6" spans="2:16" ht="39.75" customHeight="1">
      <c r="B6" s="57" t="s">
        <v>221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2:16" ht="9.75" customHeight="1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ht="9.75" customHeight="1">
      <c r="B8" s="9"/>
      <c r="C8" s="10"/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1" t="s">
        <v>1</v>
      </c>
      <c r="D9" s="15"/>
      <c r="E9" s="58" t="s">
        <v>222</v>
      </c>
      <c r="F9" s="58"/>
      <c r="G9" s="15"/>
      <c r="H9" s="58" t="s">
        <v>11</v>
      </c>
      <c r="I9" s="5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18" t="s">
        <v>151</v>
      </c>
      <c r="D10" s="19"/>
      <c r="E10" s="59" t="str">
        <f>VLOOKUP(C10,'Formato descripción HU'!B6:O22,5,0)</f>
        <v>Padre</v>
      </c>
      <c r="F10" s="59"/>
      <c r="G10" s="20"/>
      <c r="H10" s="59" t="str">
        <f>VLOOKUP(C10,'Formato descripción HU'!B6:O22,11,0)</f>
        <v>No iniciado</v>
      </c>
      <c r="I10" s="59"/>
      <c r="J10" s="20"/>
      <c r="K10" s="16"/>
      <c r="L10" s="16"/>
      <c r="M10" s="16"/>
      <c r="N10" s="16"/>
      <c r="O10" s="16"/>
      <c r="P10" s="17"/>
    </row>
    <row r="11" spans="2:16" ht="9.75" customHeight="1">
      <c r="B11" s="14"/>
      <c r="C11" s="21"/>
      <c r="D11" s="19"/>
      <c r="E11" s="22"/>
      <c r="F11" s="22"/>
      <c r="G11" s="20"/>
      <c r="H11" s="22"/>
      <c r="I11" s="22"/>
      <c r="J11" s="20"/>
      <c r="K11" s="22"/>
      <c r="L11" s="22"/>
      <c r="M11" s="16"/>
      <c r="N11" s="22"/>
      <c r="O11" s="22"/>
      <c r="P11" s="17"/>
    </row>
    <row r="12" spans="2:16" ht="30" customHeight="1">
      <c r="B12" s="14"/>
      <c r="C12" s="1" t="s">
        <v>223</v>
      </c>
      <c r="D12" s="19"/>
      <c r="E12" s="58" t="s">
        <v>10</v>
      </c>
      <c r="F12" s="58"/>
      <c r="G12" s="20"/>
      <c r="H12" s="58" t="s">
        <v>224</v>
      </c>
      <c r="I12" s="58"/>
      <c r="J12" s="20"/>
      <c r="K12" s="22"/>
      <c r="L12" s="22"/>
      <c r="M12" s="16"/>
      <c r="N12" s="22"/>
      <c r="O12" s="22"/>
      <c r="P12" s="17"/>
    </row>
    <row r="13" spans="2:16" ht="30" customHeight="1">
      <c r="B13" s="14"/>
      <c r="C13" s="18" t="str">
        <f>VLOOKUP('Historia de Usuario'!C10,'Formato descripción HU'!B6:O22,8,0)</f>
        <v xml:space="preserve">5 horas </v>
      </c>
      <c r="D13" s="19"/>
      <c r="E13" s="59" t="str">
        <f>VLOOKUP(C10,'Formato descripción HU'!B6:O22,10,0)</f>
        <v>Alta</v>
      </c>
      <c r="F13" s="59"/>
      <c r="G13" s="20"/>
      <c r="H13" s="59" t="str">
        <f>VLOOKUP(C10,'Formato descripción HU'!B6:O22,7,0)</f>
        <v>Fernando Tipán</v>
      </c>
      <c r="I13" s="59"/>
      <c r="J13" s="20"/>
      <c r="K13" s="22"/>
      <c r="L13" s="22"/>
      <c r="M13" s="16"/>
      <c r="N13" s="22"/>
      <c r="O13" s="22"/>
      <c r="P13" s="17"/>
    </row>
    <row r="14" spans="2:16" ht="9.75" customHeight="1">
      <c r="B14" s="14"/>
      <c r="C14" s="16"/>
      <c r="D14" s="19"/>
      <c r="E14" s="16"/>
      <c r="F14" s="16"/>
      <c r="G14" s="20"/>
      <c r="H14" s="20"/>
      <c r="I14" s="16"/>
      <c r="J14" s="16"/>
      <c r="K14" s="16"/>
      <c r="L14" s="16"/>
      <c r="M14" s="16"/>
      <c r="N14" s="16"/>
      <c r="O14" s="16"/>
      <c r="P14" s="17"/>
    </row>
    <row r="15" spans="2:16" ht="19.5" customHeight="1">
      <c r="B15" s="14"/>
      <c r="C15" s="60" t="s">
        <v>225</v>
      </c>
      <c r="D15" s="61" t="str">
        <f>VLOOKUP(C10,'Formato descripción HU'!B6:O22,3,0)</f>
        <v>Acceder a contenido exclusivo (Traductor, Aprendizaje Dinámico).</v>
      </c>
      <c r="E15" s="61"/>
      <c r="F15" s="23"/>
      <c r="G15" s="60" t="s">
        <v>226</v>
      </c>
      <c r="H15" s="61" t="str">
        <f>VLOOKUP(C10,'Formato descripción HU'!B6:O22,4,0)</f>
        <v>Para que el sistema verifique si tengo una membresía activa y me dé acceso.</v>
      </c>
      <c r="I15" s="61"/>
      <c r="J15" s="61"/>
      <c r="K15" s="23"/>
      <c r="L15" s="60" t="s">
        <v>227</v>
      </c>
      <c r="M15" s="64" t="str">
        <f>VLOOKUP(C10,'Formato descripción HU'!B6:O22,6,0)</f>
        <v>El sistema verifica el estado de la membresía del padre. Si es válida, desbloquea las funciones. Si no, lo redirige a la pantalla de compra.</v>
      </c>
      <c r="N15" s="65"/>
      <c r="O15" s="66"/>
      <c r="P15" s="17"/>
    </row>
    <row r="16" spans="2:16" ht="41.25" customHeight="1">
      <c r="B16" s="14"/>
      <c r="C16" s="60"/>
      <c r="D16" s="61"/>
      <c r="E16" s="61"/>
      <c r="F16" s="23"/>
      <c r="G16" s="60"/>
      <c r="H16" s="61"/>
      <c r="I16" s="61"/>
      <c r="J16" s="61"/>
      <c r="K16" s="23"/>
      <c r="L16" s="60"/>
      <c r="M16" s="67"/>
      <c r="N16" s="68"/>
      <c r="O16" s="69"/>
      <c r="P16" s="17"/>
    </row>
    <row r="17" spans="2:16" ht="44.25" customHeight="1">
      <c r="B17" s="14"/>
      <c r="C17" s="60"/>
      <c r="D17" s="61"/>
      <c r="E17" s="61"/>
      <c r="F17" s="23"/>
      <c r="G17" s="60"/>
      <c r="H17" s="61"/>
      <c r="I17" s="61"/>
      <c r="J17" s="61"/>
      <c r="K17" s="23"/>
      <c r="L17" s="60"/>
      <c r="M17" s="70"/>
      <c r="N17" s="71"/>
      <c r="O17" s="72"/>
      <c r="P17" s="17"/>
    </row>
    <row r="18" spans="2:16" ht="9.75" customHeight="1">
      <c r="B18" s="14"/>
      <c r="C18" s="16"/>
      <c r="D18" s="16"/>
      <c r="E18" s="16"/>
      <c r="F18" s="16"/>
      <c r="G18" s="20"/>
      <c r="H18" s="20"/>
      <c r="I18" s="20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62" t="s">
        <v>228</v>
      </c>
      <c r="D19" s="62"/>
      <c r="E19" s="63" t="str">
        <f>VLOOKUP(C10,'Formato descripción HU'!B6:O22,14,0)</f>
        <v>Acceder a contenido exclusivo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17"/>
    </row>
    <row r="20" spans="2:16" ht="19.5" customHeight="1">
      <c r="B20" s="14"/>
      <c r="C20" s="62"/>
      <c r="D20" s="62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58" t="s">
        <v>229</v>
      </c>
      <c r="D22" s="58"/>
      <c r="E22" s="64" t="str">
        <f>VLOOKUP(C10,'Formato descripción HU'!B6:O22,12,0)</f>
        <v>Si la membresía no es válida, el usuario es redirigido a la sección informativa para comprarla.</v>
      </c>
      <c r="F22" s="65"/>
      <c r="G22" s="65"/>
      <c r="H22" s="66"/>
      <c r="I22" s="16"/>
      <c r="J22" s="58" t="s">
        <v>13</v>
      </c>
      <c r="K22" s="58"/>
      <c r="L22" s="64" t="str">
        <f>VLOOKUP(C10,'Formato descripción HU'!B6:O22,13,0)</f>
        <v>Es el "guardián" (gatekeeper) de las funciones premium. Debe validar el estado de la membresía (RF11.1).</v>
      </c>
      <c r="M22" s="65"/>
      <c r="N22" s="65"/>
      <c r="O22" s="65"/>
      <c r="P22" s="17"/>
    </row>
    <row r="23" spans="2:16" ht="19.5" customHeight="1">
      <c r="B23" s="14"/>
      <c r="C23" s="58"/>
      <c r="D23" s="58"/>
      <c r="E23" s="67"/>
      <c r="F23" s="68"/>
      <c r="G23" s="68"/>
      <c r="H23" s="69"/>
      <c r="I23" s="16"/>
      <c r="J23" s="58"/>
      <c r="K23" s="58"/>
      <c r="L23" s="67"/>
      <c r="M23" s="68"/>
      <c r="N23" s="68"/>
      <c r="O23" s="68"/>
      <c r="P23" s="17"/>
    </row>
    <row r="24" spans="2:16" ht="19.5" customHeight="1">
      <c r="B24" s="14"/>
      <c r="C24" s="58"/>
      <c r="D24" s="58"/>
      <c r="E24" s="70"/>
      <c r="F24" s="71"/>
      <c r="G24" s="71"/>
      <c r="H24" s="72"/>
      <c r="I24" s="16"/>
      <c r="J24" s="58"/>
      <c r="K24" s="58"/>
      <c r="L24" s="70"/>
      <c r="M24" s="71"/>
      <c r="N24" s="71"/>
      <c r="O24" s="71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2:F12"/>
    <mergeCell ref="H12:I12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</mergeCells>
  <conditionalFormatting sqref="H10:I11">
    <cfRule type="cellIs" dxfId="19" priority="2" operator="equal">
      <formula>"Atrasado"</formula>
    </cfRule>
    <cfRule type="cellIs" dxfId="18" priority="3" operator="equal">
      <formula>"Terminado"</formula>
    </cfRule>
    <cfRule type="cellIs" dxfId="17" priority="4" operator="equal">
      <formula>"En proceso"</formula>
    </cfRule>
    <cfRule type="cellIs" dxfId="16" priority="5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5A7E-5D63-42CF-B9E3-12819BFDD273}">
  <sheetPr>
    <pageSetUpPr fitToPage="1"/>
  </sheetPr>
  <dimension ref="B2:P1000"/>
  <sheetViews>
    <sheetView showGridLines="0" zoomScaleNormal="100" workbookViewId="0">
      <selection activeCell="R14" sqref="R14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27"/>
      <c r="D4" s="27"/>
      <c r="E4" s="27"/>
      <c r="F4" s="28"/>
    </row>
    <row r="5" spans="2:16" hidden="1">
      <c r="C5" s="27"/>
      <c r="D5" s="27"/>
      <c r="E5" s="27"/>
      <c r="F5" s="28"/>
    </row>
    <row r="6" spans="2:16" ht="39.75" customHeight="1">
      <c r="B6" s="49" t="s">
        <v>221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2:16" ht="9.75" customHeight="1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2:16" ht="9.75" customHeight="1">
      <c r="B8" s="9"/>
      <c r="C8" s="30"/>
      <c r="D8" s="30"/>
      <c r="E8" s="30"/>
      <c r="F8" s="3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32" t="s">
        <v>1</v>
      </c>
      <c r="D9" s="33"/>
      <c r="E9" s="48" t="s">
        <v>222</v>
      </c>
      <c r="F9" s="48"/>
      <c r="G9" s="33"/>
      <c r="H9" s="48" t="s">
        <v>11</v>
      </c>
      <c r="I9" s="4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34" t="s">
        <v>44</v>
      </c>
      <c r="D10" s="35"/>
      <c r="E10" s="50" t="str">
        <f>VLOOKUP(C10,'Formato descripción HU'!B6:O22,5,0)</f>
        <v>Padre</v>
      </c>
      <c r="F10" s="50"/>
      <c r="G10" s="36"/>
      <c r="H10" s="50" t="str">
        <f>VLOOKUP(C10,'Formato descripción HU'!B6:O22,11,0)</f>
        <v>No iniciado</v>
      </c>
      <c r="I10" s="50"/>
      <c r="J10" s="36"/>
      <c r="K10" s="16"/>
      <c r="L10" s="16"/>
      <c r="M10" s="16"/>
      <c r="N10" s="16"/>
      <c r="O10" s="16"/>
      <c r="P10" s="17"/>
    </row>
    <row r="11" spans="2:16" ht="9.75" customHeight="1">
      <c r="B11" s="14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16"/>
      <c r="N11" s="38"/>
      <c r="O11" s="38"/>
      <c r="P11" s="17"/>
    </row>
    <row r="12" spans="2:16" ht="30" customHeight="1">
      <c r="B12" s="14"/>
      <c r="C12" s="32" t="s">
        <v>223</v>
      </c>
      <c r="D12" s="35"/>
      <c r="E12" s="48" t="s">
        <v>10</v>
      </c>
      <c r="F12" s="48"/>
      <c r="G12" s="36"/>
      <c r="H12" s="48" t="s">
        <v>224</v>
      </c>
      <c r="I12" s="48"/>
      <c r="J12" s="36"/>
      <c r="K12" s="38"/>
      <c r="L12" s="38"/>
      <c r="M12" s="16"/>
      <c r="N12" s="38"/>
      <c r="O12" s="38"/>
      <c r="P12" s="17"/>
    </row>
    <row r="13" spans="2:16" ht="30" customHeight="1">
      <c r="B13" s="14"/>
      <c r="C13" s="34" t="str">
        <f>VLOOKUP('RF1 - Historia de Usuario'!C10,'Formato descripción HU'!B6:O22,8,0)</f>
        <v xml:space="preserve">4 horas </v>
      </c>
      <c r="D13" s="35"/>
      <c r="E13" s="50" t="str">
        <f>VLOOKUP(C10,'Formato descripción HU'!B6:O22,10,0)</f>
        <v>Alta</v>
      </c>
      <c r="F13" s="50"/>
      <c r="G13" s="36"/>
      <c r="H13" s="50" t="str">
        <f>VLOOKUP(C10,'Formato descripción HU'!B6:O22,7,0)</f>
        <v>Marcos Escobar</v>
      </c>
      <c r="I13" s="50"/>
      <c r="J13" s="36"/>
      <c r="K13" s="38"/>
      <c r="L13" s="38"/>
      <c r="M13" s="16"/>
      <c r="N13" s="38"/>
      <c r="O13" s="38"/>
      <c r="P13" s="17"/>
    </row>
    <row r="14" spans="2:16" ht="9.75" customHeight="1">
      <c r="B14" s="14"/>
      <c r="C14" s="16"/>
      <c r="D14" s="35"/>
      <c r="E14" s="16"/>
      <c r="F14" s="16"/>
      <c r="G14" s="36"/>
      <c r="H14" s="36"/>
      <c r="I14" s="16"/>
      <c r="J14" s="16"/>
      <c r="K14" s="16"/>
      <c r="L14" s="16"/>
      <c r="M14" s="16"/>
      <c r="N14" s="16"/>
      <c r="O14" s="16"/>
      <c r="P14" s="17"/>
    </row>
    <row r="15" spans="2:16" ht="45.75" customHeight="1">
      <c r="B15" s="14"/>
      <c r="C15" s="51" t="s">
        <v>225</v>
      </c>
      <c r="D15" s="52" t="str">
        <f>VLOOKUP(C10,'Formato descripción HU'!B6:O22,3,0)</f>
        <v>El padre necesita ver el contenido del nivel principiante para la categoría de edad seleccionada.</v>
      </c>
      <c r="E15" s="52"/>
      <c r="F15" s="23"/>
      <c r="G15" s="51" t="s">
        <v>226</v>
      </c>
      <c r="H15" s="52" t="str">
        <f>VLOOKUP(C10,'Formato descripción HU'!B6:O22,4,0)</f>
        <v>(Derivado) Para que el actor pueda seleccionar, visualizar y filtrar contenido de expresiones básicas y señas sobre animales.</v>
      </c>
      <c r="I15" s="52"/>
      <c r="J15" s="52"/>
      <c r="K15" s="23"/>
      <c r="L15" s="51" t="s">
        <v>227</v>
      </c>
      <c r="M15" s="53" t="str">
        <f>VLOOKUP(C10,'Formato descripción HU'!B6:O22,6,0)</f>
        <v>El sistema muestra la lista de contenidos del nivel. El padre puede seleccionar uno para verlo o usar palabras clave para filtrar la lista.</v>
      </c>
      <c r="N15" s="53"/>
      <c r="O15" s="53"/>
      <c r="P15" s="17"/>
    </row>
    <row r="16" spans="2:16" ht="19.5" customHeight="1">
      <c r="B16" s="14"/>
      <c r="C16" s="51"/>
      <c r="D16" s="52"/>
      <c r="E16" s="52"/>
      <c r="F16" s="23"/>
      <c r="G16" s="51"/>
      <c r="H16" s="52"/>
      <c r="I16" s="52"/>
      <c r="J16" s="52"/>
      <c r="K16" s="23"/>
      <c r="L16" s="51"/>
      <c r="M16" s="53"/>
      <c r="N16" s="53"/>
      <c r="O16" s="53"/>
      <c r="P16" s="17"/>
    </row>
    <row r="17" spans="2:16" ht="19.5" customHeight="1">
      <c r="B17" s="14"/>
      <c r="C17" s="51"/>
      <c r="D17" s="52"/>
      <c r="E17" s="52"/>
      <c r="F17" s="23"/>
      <c r="G17" s="51"/>
      <c r="H17" s="52"/>
      <c r="I17" s="52"/>
      <c r="J17" s="52"/>
      <c r="K17" s="23"/>
      <c r="L17" s="51"/>
      <c r="M17" s="53"/>
      <c r="N17" s="53"/>
      <c r="O17" s="53"/>
      <c r="P17" s="17"/>
    </row>
    <row r="18" spans="2:16" ht="9.75" customHeight="1">
      <c r="B18" s="14"/>
      <c r="C18" s="16"/>
      <c r="D18" s="16"/>
      <c r="E18" s="16"/>
      <c r="F18" s="16"/>
      <c r="G18" s="36"/>
      <c r="H18" s="36"/>
      <c r="I18" s="36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54" t="s">
        <v>228</v>
      </c>
      <c r="D19" s="54"/>
      <c r="E19" s="55" t="str">
        <f>VLOOKUP(C10,'Formato descripción HU'!B6:O22,14,0)</f>
        <v>Mostrar nivel principiante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17"/>
    </row>
    <row r="20" spans="2:16" ht="19.5" customHeight="1">
      <c r="B20" s="1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48" t="s">
        <v>229</v>
      </c>
      <c r="D22" s="48"/>
      <c r="E22" s="56" t="str">
        <f>VLOOKUP(C10,'Formato descripción HU'!B6:O22,12,0)</f>
        <v>Si el filtro no encuentra nada, se muestra "no hay coincidencias". Si no se carga el contenido, muestra error.</v>
      </c>
      <c r="F22" s="56"/>
      <c r="G22" s="56"/>
      <c r="H22" s="56"/>
      <c r="I22" s="16"/>
      <c r="J22" s="48" t="s">
        <v>13</v>
      </c>
      <c r="K22" s="48"/>
      <c r="L22" s="50" t="str">
        <f>VLOOKUP(C10,'Formato descripción HU'!B6:O22,13,0)</f>
        <v>Carga de contenido base. Coordinar con RF14 (Fernando) para la funcionalidad del filtro.</v>
      </c>
      <c r="M22" s="50"/>
      <c r="N22" s="50"/>
      <c r="O22" s="50"/>
      <c r="P22" s="17"/>
    </row>
    <row r="23" spans="2:16" ht="19.5" customHeight="1">
      <c r="B23" s="14"/>
      <c r="C23" s="48"/>
      <c r="D23" s="48"/>
      <c r="E23" s="56"/>
      <c r="F23" s="56"/>
      <c r="G23" s="56"/>
      <c r="H23" s="56"/>
      <c r="I23" s="16"/>
      <c r="J23" s="48"/>
      <c r="K23" s="48"/>
      <c r="L23" s="50"/>
      <c r="M23" s="50"/>
      <c r="N23" s="50"/>
      <c r="O23" s="50"/>
      <c r="P23" s="17"/>
    </row>
    <row r="24" spans="2:16" ht="19.5" customHeight="1">
      <c r="B24" s="14"/>
      <c r="C24" s="48"/>
      <c r="D24" s="48"/>
      <c r="E24" s="56"/>
      <c r="F24" s="56"/>
      <c r="G24" s="56"/>
      <c r="H24" s="56"/>
      <c r="I24" s="16"/>
      <c r="J24" s="48"/>
      <c r="K24" s="48"/>
      <c r="L24" s="50"/>
      <c r="M24" s="50"/>
      <c r="N24" s="50"/>
      <c r="O24" s="50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E12:F12"/>
    <mergeCell ref="H12:I12"/>
    <mergeCell ref="B6:P6"/>
    <mergeCell ref="E9:F9"/>
    <mergeCell ref="H9:I9"/>
    <mergeCell ref="E10:F10"/>
    <mergeCell ref="H10:I10"/>
  </mergeCells>
  <conditionalFormatting sqref="H10:I11">
    <cfRule type="cellIs" dxfId="15" priority="1" operator="equal">
      <formula>"Atrasado"</formula>
    </cfRule>
    <cfRule type="cellIs" dxfId="14" priority="2" operator="equal">
      <formula>"Terminado"</formula>
    </cfRule>
    <cfRule type="cellIs" dxfId="13" priority="3" operator="equal">
      <formula>"En proceso"</formula>
    </cfRule>
    <cfRule type="cellIs" dxfId="12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726185B-A64B-4953-996E-C886484F7DF4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53B7-4ABA-4780-85C5-913639683C2A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27"/>
      <c r="D4" s="27"/>
      <c r="E4" s="27"/>
      <c r="F4" s="28"/>
    </row>
    <row r="5" spans="2:16" hidden="1">
      <c r="C5" s="27"/>
      <c r="D5" s="27"/>
      <c r="E5" s="27"/>
      <c r="F5" s="28"/>
    </row>
    <row r="6" spans="2:16" ht="39.75" customHeight="1">
      <c r="B6" s="49" t="s">
        <v>221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2:16" ht="9.75" customHeight="1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2:16" ht="9.75" customHeight="1">
      <c r="B8" s="9"/>
      <c r="C8" s="30"/>
      <c r="D8" s="30"/>
      <c r="E8" s="30"/>
      <c r="F8" s="3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32" t="s">
        <v>1</v>
      </c>
      <c r="D9" s="33"/>
      <c r="E9" s="48" t="s">
        <v>222</v>
      </c>
      <c r="F9" s="48"/>
      <c r="G9" s="33"/>
      <c r="H9" s="48" t="s">
        <v>11</v>
      </c>
      <c r="I9" s="4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34" t="s">
        <v>230</v>
      </c>
      <c r="D10" s="35"/>
      <c r="E10" s="50" t="e">
        <f>VLOOKUP(C10,'Formato descripción HU'!B6:O22,5,0)</f>
        <v>#N/A</v>
      </c>
      <c r="F10" s="50"/>
      <c r="G10" s="36"/>
      <c r="H10" s="50" t="e">
        <f>VLOOKUP(C10,'Formato descripción HU'!B6:O22,11,0)</f>
        <v>#N/A</v>
      </c>
      <c r="I10" s="50"/>
      <c r="J10" s="36"/>
      <c r="K10" s="16"/>
      <c r="L10" s="16"/>
      <c r="M10" s="16"/>
      <c r="N10" s="16"/>
      <c r="O10" s="16"/>
      <c r="P10" s="17"/>
    </row>
    <row r="11" spans="2:16" ht="9.75" customHeight="1">
      <c r="B11" s="14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16"/>
      <c r="N11" s="38"/>
      <c r="O11" s="38"/>
      <c r="P11" s="17"/>
    </row>
    <row r="12" spans="2:16" ht="30" customHeight="1">
      <c r="B12" s="14"/>
      <c r="C12" s="32" t="s">
        <v>223</v>
      </c>
      <c r="D12" s="35"/>
      <c r="E12" s="48" t="s">
        <v>10</v>
      </c>
      <c r="F12" s="48"/>
      <c r="G12" s="36"/>
      <c r="H12" s="48" t="s">
        <v>224</v>
      </c>
      <c r="I12" s="48"/>
      <c r="J12" s="36"/>
      <c r="K12" s="38"/>
      <c r="L12" s="38"/>
      <c r="M12" s="16"/>
      <c r="N12" s="38"/>
      <c r="O12" s="38"/>
      <c r="P12" s="17"/>
    </row>
    <row r="13" spans="2:16" ht="30" customHeight="1">
      <c r="B13" s="14"/>
      <c r="C13" s="34" t="e">
        <f>VLOOKUP('RF2 - Historia de Usuario'!C10,'Formato descripción HU'!B6:O22,8,0)</f>
        <v>#N/A</v>
      </c>
      <c r="D13" s="35"/>
      <c r="E13" s="50" t="e">
        <f>VLOOKUP(C10,'Formato descripción HU'!B6:O22,10,0)</f>
        <v>#N/A</v>
      </c>
      <c r="F13" s="50"/>
      <c r="G13" s="36"/>
      <c r="H13" s="50" t="e">
        <f>VLOOKUP(C10,'Formato descripción HU'!B6:O22,7,0)</f>
        <v>#N/A</v>
      </c>
      <c r="I13" s="50"/>
      <c r="J13" s="36"/>
      <c r="K13" s="38"/>
      <c r="L13" s="38"/>
      <c r="M13" s="16"/>
      <c r="N13" s="38"/>
      <c r="O13" s="38"/>
      <c r="P13" s="17"/>
    </row>
    <row r="14" spans="2:16" ht="9.75" customHeight="1">
      <c r="B14" s="14"/>
      <c r="C14" s="16"/>
      <c r="D14" s="35"/>
      <c r="E14" s="16"/>
      <c r="F14" s="16"/>
      <c r="G14" s="36"/>
      <c r="H14" s="36"/>
      <c r="I14" s="16"/>
      <c r="J14" s="16"/>
      <c r="K14" s="16"/>
      <c r="L14" s="16"/>
      <c r="M14" s="16"/>
      <c r="N14" s="16"/>
      <c r="O14" s="16"/>
      <c r="P14" s="17"/>
    </row>
    <row r="15" spans="2:16" ht="19.5" customHeight="1">
      <c r="B15" s="14"/>
      <c r="C15" s="51" t="s">
        <v>225</v>
      </c>
      <c r="D15" s="52" t="e">
        <f>VLOOKUP(C10,'Formato descripción HU'!B6:O22,3,0)</f>
        <v>#N/A</v>
      </c>
      <c r="E15" s="52"/>
      <c r="F15" s="23"/>
      <c r="G15" s="51" t="s">
        <v>226</v>
      </c>
      <c r="H15" s="52" t="e">
        <f>VLOOKUP(C10,'Formato descripción HU'!B6:O22,4,0)</f>
        <v>#N/A</v>
      </c>
      <c r="I15" s="52"/>
      <c r="J15" s="52"/>
      <c r="K15" s="23"/>
      <c r="L15" s="51" t="s">
        <v>227</v>
      </c>
      <c r="M15" s="53" t="e">
        <f>VLOOKUP(C10,'Formato descripción HU'!B6:O22,6,0)</f>
        <v>#N/A</v>
      </c>
      <c r="N15" s="53"/>
      <c r="O15" s="53"/>
      <c r="P15" s="17"/>
    </row>
    <row r="16" spans="2:16" ht="19.5" customHeight="1">
      <c r="B16" s="14"/>
      <c r="C16" s="51"/>
      <c r="D16" s="52"/>
      <c r="E16" s="52"/>
      <c r="F16" s="23"/>
      <c r="G16" s="51"/>
      <c r="H16" s="52"/>
      <c r="I16" s="52"/>
      <c r="J16" s="52"/>
      <c r="K16" s="23"/>
      <c r="L16" s="51"/>
      <c r="M16" s="53"/>
      <c r="N16" s="53"/>
      <c r="O16" s="53"/>
      <c r="P16" s="17"/>
    </row>
    <row r="17" spans="2:16" ht="19.5" customHeight="1">
      <c r="B17" s="14"/>
      <c r="C17" s="51"/>
      <c r="D17" s="52"/>
      <c r="E17" s="52"/>
      <c r="F17" s="23"/>
      <c r="G17" s="51"/>
      <c r="H17" s="52"/>
      <c r="I17" s="52"/>
      <c r="J17" s="52"/>
      <c r="K17" s="23"/>
      <c r="L17" s="51"/>
      <c r="M17" s="53"/>
      <c r="N17" s="53"/>
      <c r="O17" s="53"/>
      <c r="P17" s="17"/>
    </row>
    <row r="18" spans="2:16" ht="9.75" customHeight="1">
      <c r="B18" s="14"/>
      <c r="C18" s="16"/>
      <c r="D18" s="16"/>
      <c r="E18" s="16"/>
      <c r="F18" s="16"/>
      <c r="G18" s="36"/>
      <c r="H18" s="36"/>
      <c r="I18" s="36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54" t="s">
        <v>228</v>
      </c>
      <c r="D19" s="54"/>
      <c r="E19" s="55" t="e">
        <f>VLOOKUP(C10,'Formato descripción HU'!B6:O22,14,0)</f>
        <v>#N/A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17"/>
    </row>
    <row r="20" spans="2:16" ht="19.5" customHeight="1">
      <c r="B20" s="1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48" t="s">
        <v>229</v>
      </c>
      <c r="D22" s="48"/>
      <c r="E22" s="56" t="e">
        <f>VLOOKUP(C10,'Formato descripción HU'!B6:O22,12,0)</f>
        <v>#N/A</v>
      </c>
      <c r="F22" s="56"/>
      <c r="G22" s="56"/>
      <c r="H22" s="56"/>
      <c r="I22" s="16"/>
      <c r="J22" s="48" t="s">
        <v>13</v>
      </c>
      <c r="K22" s="48"/>
      <c r="L22" s="50" t="e">
        <f>VLOOKUP(C10,'Formato descripción HU'!B6:O22,13,0)</f>
        <v>#N/A</v>
      </c>
      <c r="M22" s="50"/>
      <c r="N22" s="50"/>
      <c r="O22" s="50"/>
      <c r="P22" s="17"/>
    </row>
    <row r="23" spans="2:16" ht="19.5" customHeight="1">
      <c r="B23" s="14"/>
      <c r="C23" s="48"/>
      <c r="D23" s="48"/>
      <c r="E23" s="56"/>
      <c r="F23" s="56"/>
      <c r="G23" s="56"/>
      <c r="H23" s="56"/>
      <c r="I23" s="16"/>
      <c r="J23" s="48"/>
      <c r="K23" s="48"/>
      <c r="L23" s="50"/>
      <c r="M23" s="50"/>
      <c r="N23" s="50"/>
      <c r="O23" s="50"/>
      <c r="P23" s="17"/>
    </row>
    <row r="24" spans="2:16" ht="19.5" customHeight="1">
      <c r="B24" s="14"/>
      <c r="C24" s="48"/>
      <c r="D24" s="48"/>
      <c r="E24" s="56"/>
      <c r="F24" s="56"/>
      <c r="G24" s="56"/>
      <c r="H24" s="56"/>
      <c r="I24" s="16"/>
      <c r="J24" s="48"/>
      <c r="K24" s="48"/>
      <c r="L24" s="50"/>
      <c r="M24" s="50"/>
      <c r="N24" s="50"/>
      <c r="O24" s="50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E12:F12"/>
    <mergeCell ref="H12:I12"/>
    <mergeCell ref="B6:P6"/>
    <mergeCell ref="E9:F9"/>
    <mergeCell ref="H9:I9"/>
    <mergeCell ref="E10:F10"/>
    <mergeCell ref="H10:I10"/>
  </mergeCells>
  <conditionalFormatting sqref="H10:I11">
    <cfRule type="cellIs" dxfId="11" priority="1" operator="equal">
      <formula>"Atrasado"</formula>
    </cfRule>
    <cfRule type="cellIs" dxfId="10" priority="2" operator="equal">
      <formula>"Terminado"</formula>
    </cfRule>
    <cfRule type="cellIs" dxfId="9" priority="3" operator="equal">
      <formula>"En proceso"</formula>
    </cfRule>
    <cfRule type="cellIs" dxfId="8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5C9C5F9-2740-4CDE-8052-F33E6D9D16F7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50E7-CFE9-4F4D-89CC-5B3BD2A55324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27"/>
      <c r="D4" s="27"/>
      <c r="E4" s="27"/>
      <c r="F4" s="28"/>
    </row>
    <row r="5" spans="2:16" hidden="1">
      <c r="C5" s="27"/>
      <c r="D5" s="27"/>
      <c r="E5" s="27"/>
      <c r="F5" s="28"/>
    </row>
    <row r="6" spans="2:16" ht="39.75" customHeight="1">
      <c r="B6" s="49" t="s">
        <v>221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2:16" ht="9.75" customHeight="1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2:16" ht="9.75" customHeight="1">
      <c r="B8" s="9"/>
      <c r="C8" s="30"/>
      <c r="D8" s="30"/>
      <c r="E8" s="30"/>
      <c r="F8" s="3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32" t="s">
        <v>1</v>
      </c>
      <c r="D9" s="33"/>
      <c r="E9" s="48" t="s">
        <v>222</v>
      </c>
      <c r="F9" s="48"/>
      <c r="G9" s="33"/>
      <c r="H9" s="48" t="s">
        <v>11</v>
      </c>
      <c r="I9" s="4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34" t="s">
        <v>44</v>
      </c>
      <c r="D10" s="35"/>
      <c r="E10" s="50" t="str">
        <f>VLOOKUP(C10,'Formato descripción HU'!B6:O22,5,0)</f>
        <v>Padre</v>
      </c>
      <c r="F10" s="50"/>
      <c r="G10" s="36"/>
      <c r="H10" s="50" t="str">
        <f>VLOOKUP(C10,'Formato descripción HU'!B6:O22,11,0)</f>
        <v>No iniciado</v>
      </c>
      <c r="I10" s="50"/>
      <c r="J10" s="36"/>
      <c r="K10" s="16"/>
      <c r="L10" s="16"/>
      <c r="M10" s="16"/>
      <c r="N10" s="16"/>
      <c r="O10" s="16"/>
      <c r="P10" s="17"/>
    </row>
    <row r="11" spans="2:16" ht="9.75" customHeight="1">
      <c r="B11" s="14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16"/>
      <c r="N11" s="38"/>
      <c r="O11" s="38"/>
      <c r="P11" s="17"/>
    </row>
    <row r="12" spans="2:16" ht="30" customHeight="1">
      <c r="B12" s="14"/>
      <c r="C12" s="32" t="s">
        <v>223</v>
      </c>
      <c r="D12" s="35"/>
      <c r="E12" s="48" t="s">
        <v>10</v>
      </c>
      <c r="F12" s="48"/>
      <c r="G12" s="36"/>
      <c r="H12" s="48" t="s">
        <v>224</v>
      </c>
      <c r="I12" s="48"/>
      <c r="J12" s="36"/>
      <c r="K12" s="38"/>
      <c r="L12" s="38"/>
      <c r="M12" s="16"/>
      <c r="N12" s="38"/>
      <c r="O12" s="38"/>
      <c r="P12" s="17"/>
    </row>
    <row r="13" spans="2:16" ht="30" customHeight="1">
      <c r="B13" s="14"/>
      <c r="C13" s="34" t="str">
        <f>VLOOKUP('RF3.1 - Historia de Usuario'!C10,'Formato descripción HU'!B6:O22,8,0)</f>
        <v xml:space="preserve">4 horas </v>
      </c>
      <c r="D13" s="35"/>
      <c r="E13" s="50" t="str">
        <f>VLOOKUP(C10,'Formato descripción HU'!B6:O22,10,0)</f>
        <v>Alta</v>
      </c>
      <c r="F13" s="50"/>
      <c r="G13" s="36"/>
      <c r="H13" s="50" t="str">
        <f>VLOOKUP(C10,'Formato descripción HU'!B6:O22,7,0)</f>
        <v>Marcos Escobar</v>
      </c>
      <c r="I13" s="50"/>
      <c r="J13" s="36"/>
      <c r="K13" s="38"/>
      <c r="L13" s="38"/>
      <c r="M13" s="16"/>
      <c r="N13" s="38"/>
      <c r="O13" s="38"/>
      <c r="P13" s="17"/>
    </row>
    <row r="14" spans="2:16" ht="9.75" customHeight="1">
      <c r="B14" s="14"/>
      <c r="C14" s="16"/>
      <c r="D14" s="35"/>
      <c r="E14" s="16"/>
      <c r="F14" s="16"/>
      <c r="G14" s="36"/>
      <c r="H14" s="36"/>
      <c r="I14" s="16"/>
      <c r="J14" s="16"/>
      <c r="K14" s="16"/>
      <c r="L14" s="16"/>
      <c r="M14" s="16"/>
      <c r="N14" s="16"/>
      <c r="O14" s="16"/>
      <c r="P14" s="17"/>
    </row>
    <row r="15" spans="2:16" ht="19.5" customHeight="1">
      <c r="B15" s="14"/>
      <c r="C15" s="51" t="s">
        <v>225</v>
      </c>
      <c r="D15" s="52" t="str">
        <f>VLOOKUP(C10,'Formato descripción HU'!B6:O22,3,0)</f>
        <v>El padre necesita ver el contenido del nivel principiante para la categoría de edad seleccionada.</v>
      </c>
      <c r="E15" s="52"/>
      <c r="F15" s="23"/>
      <c r="G15" s="51" t="s">
        <v>226</v>
      </c>
      <c r="H15" s="52" t="str">
        <f>VLOOKUP(C10,'Formato descripción HU'!B6:O22,4,0)</f>
        <v>(Derivado) Para que el actor pueda seleccionar, visualizar y filtrar contenido de expresiones básicas y señas sobre animales.</v>
      </c>
      <c r="I15" s="52"/>
      <c r="J15" s="52"/>
      <c r="K15" s="23"/>
      <c r="L15" s="51" t="s">
        <v>227</v>
      </c>
      <c r="M15" s="53" t="str">
        <f>VLOOKUP(C10,'Formato descripción HU'!B6:O22,6,0)</f>
        <v>El sistema muestra la lista de contenidos del nivel. El padre puede seleccionar uno para verlo o usar palabras clave para filtrar la lista.</v>
      </c>
      <c r="N15" s="53"/>
      <c r="O15" s="53"/>
      <c r="P15" s="17"/>
    </row>
    <row r="16" spans="2:16" ht="19.5" customHeight="1">
      <c r="B16" s="14"/>
      <c r="C16" s="51"/>
      <c r="D16" s="52"/>
      <c r="E16" s="52"/>
      <c r="F16" s="23"/>
      <c r="G16" s="51"/>
      <c r="H16" s="52"/>
      <c r="I16" s="52"/>
      <c r="J16" s="52"/>
      <c r="K16" s="23"/>
      <c r="L16" s="51"/>
      <c r="M16" s="53"/>
      <c r="N16" s="53"/>
      <c r="O16" s="53"/>
      <c r="P16" s="17"/>
    </row>
    <row r="17" spans="2:16" ht="19.5" customHeight="1">
      <c r="B17" s="14"/>
      <c r="C17" s="51"/>
      <c r="D17" s="52"/>
      <c r="E17" s="52"/>
      <c r="F17" s="23"/>
      <c r="G17" s="51"/>
      <c r="H17" s="52"/>
      <c r="I17" s="52"/>
      <c r="J17" s="52"/>
      <c r="K17" s="23"/>
      <c r="L17" s="51"/>
      <c r="M17" s="53"/>
      <c r="N17" s="53"/>
      <c r="O17" s="53"/>
      <c r="P17" s="17"/>
    </row>
    <row r="18" spans="2:16" ht="9.75" customHeight="1">
      <c r="B18" s="14"/>
      <c r="C18" s="16"/>
      <c r="D18" s="16"/>
      <c r="E18" s="16"/>
      <c r="F18" s="16"/>
      <c r="G18" s="36"/>
      <c r="H18" s="36"/>
      <c r="I18" s="36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54" t="s">
        <v>228</v>
      </c>
      <c r="D19" s="54"/>
      <c r="E19" s="55" t="str">
        <f>VLOOKUP(C10,'Formato descripción HU'!B6:O22,14,0)</f>
        <v>Mostrar nivel principiante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17"/>
    </row>
    <row r="20" spans="2:16" ht="19.5" customHeight="1">
      <c r="B20" s="1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48" t="s">
        <v>229</v>
      </c>
      <c r="D22" s="48"/>
      <c r="E22" s="56" t="str">
        <f>VLOOKUP(C10,'Formato descripción HU'!B6:O22,12,0)</f>
        <v>Si el filtro no encuentra nada, se muestra "no hay coincidencias". Si no se carga el contenido, muestra error.</v>
      </c>
      <c r="F22" s="56"/>
      <c r="G22" s="56"/>
      <c r="H22" s="56"/>
      <c r="I22" s="16"/>
      <c r="J22" s="48" t="s">
        <v>13</v>
      </c>
      <c r="K22" s="48"/>
      <c r="L22" s="50" t="str">
        <f>VLOOKUP(C10,'Formato descripción HU'!B6:O22,13,0)</f>
        <v>Carga de contenido base. Coordinar con RF14 (Fernando) para la funcionalidad del filtro.</v>
      </c>
      <c r="M22" s="50"/>
      <c r="N22" s="50"/>
      <c r="O22" s="50"/>
      <c r="P22" s="17"/>
    </row>
    <row r="23" spans="2:16" ht="19.5" customHeight="1">
      <c r="B23" s="14"/>
      <c r="C23" s="48"/>
      <c r="D23" s="48"/>
      <c r="E23" s="56"/>
      <c r="F23" s="56"/>
      <c r="G23" s="56"/>
      <c r="H23" s="56"/>
      <c r="I23" s="16"/>
      <c r="J23" s="48"/>
      <c r="K23" s="48"/>
      <c r="L23" s="50"/>
      <c r="M23" s="50"/>
      <c r="N23" s="50"/>
      <c r="O23" s="50"/>
      <c r="P23" s="17"/>
    </row>
    <row r="24" spans="2:16" ht="19.5" customHeight="1">
      <c r="B24" s="14"/>
      <c r="C24" s="48"/>
      <c r="D24" s="48"/>
      <c r="E24" s="56"/>
      <c r="F24" s="56"/>
      <c r="G24" s="56"/>
      <c r="H24" s="56"/>
      <c r="I24" s="16"/>
      <c r="J24" s="48"/>
      <c r="K24" s="48"/>
      <c r="L24" s="50"/>
      <c r="M24" s="50"/>
      <c r="N24" s="50"/>
      <c r="O24" s="50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E12:F12"/>
    <mergeCell ref="H12:I12"/>
    <mergeCell ref="B6:P6"/>
    <mergeCell ref="E9:F9"/>
    <mergeCell ref="H9:I9"/>
    <mergeCell ref="E10:F10"/>
    <mergeCell ref="H10:I10"/>
  </mergeCells>
  <conditionalFormatting sqref="H10:I11">
    <cfRule type="cellIs" dxfId="7" priority="1" operator="equal">
      <formula>"Atrasado"</formula>
    </cfRule>
    <cfRule type="cellIs" dxfId="6" priority="2" operator="equal">
      <formula>"Terminado"</formula>
    </cfRule>
    <cfRule type="cellIs" dxfId="5" priority="3" operator="equal">
      <formula>"En proceso"</formula>
    </cfRule>
    <cfRule type="cellIs" dxfId="4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4F8F681-72D7-411E-B7F2-A3C29E3BD185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914-9FFB-43FE-B2BA-A1C6B66DC468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27"/>
      <c r="D4" s="27"/>
      <c r="E4" s="27"/>
      <c r="F4" s="28"/>
    </row>
    <row r="5" spans="2:16" hidden="1">
      <c r="C5" s="27"/>
      <c r="D5" s="27"/>
      <c r="E5" s="27"/>
      <c r="F5" s="28"/>
    </row>
    <row r="6" spans="2:16" ht="39.75" customHeight="1">
      <c r="B6" s="49" t="s">
        <v>221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2:16" ht="9.75" customHeight="1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2:16" ht="9.75" customHeight="1">
      <c r="B8" s="9"/>
      <c r="C8" s="30"/>
      <c r="D8" s="30"/>
      <c r="E8" s="30"/>
      <c r="F8" s="3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2:16" ht="30" customHeight="1">
      <c r="B9" s="14"/>
      <c r="C9" s="32" t="s">
        <v>1</v>
      </c>
      <c r="D9" s="33"/>
      <c r="E9" s="48" t="s">
        <v>222</v>
      </c>
      <c r="F9" s="48"/>
      <c r="G9" s="33"/>
      <c r="H9" s="48" t="s">
        <v>11</v>
      </c>
      <c r="I9" s="48"/>
      <c r="J9" s="16"/>
      <c r="K9" s="16"/>
      <c r="L9" s="16"/>
      <c r="M9" s="16"/>
      <c r="N9" s="16"/>
      <c r="O9" s="16"/>
      <c r="P9" s="17"/>
    </row>
    <row r="10" spans="2:16" ht="30" customHeight="1">
      <c r="B10" s="14"/>
      <c r="C10" s="34" t="s">
        <v>52</v>
      </c>
      <c r="D10" s="35"/>
      <c r="E10" s="50" t="str">
        <f>VLOOKUP(C10,'Formato descripción HU'!B6:O22,5,0)</f>
        <v>Padre</v>
      </c>
      <c r="F10" s="50"/>
      <c r="G10" s="36"/>
      <c r="H10" s="50" t="str">
        <f>VLOOKUP(C10,'Formato descripción HU'!B6:O22,11,0)</f>
        <v>No iniciado</v>
      </c>
      <c r="I10" s="50"/>
      <c r="J10" s="36"/>
      <c r="K10" s="16"/>
      <c r="L10" s="16"/>
      <c r="M10" s="16"/>
      <c r="N10" s="16"/>
      <c r="O10" s="16"/>
      <c r="P10" s="17"/>
    </row>
    <row r="11" spans="2:16" ht="9.75" customHeight="1">
      <c r="B11" s="14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16"/>
      <c r="N11" s="38"/>
      <c r="O11" s="38"/>
      <c r="P11" s="17"/>
    </row>
    <row r="12" spans="2:16" ht="30" customHeight="1">
      <c r="B12" s="14"/>
      <c r="C12" s="32" t="s">
        <v>223</v>
      </c>
      <c r="D12" s="35"/>
      <c r="E12" s="48" t="s">
        <v>10</v>
      </c>
      <c r="F12" s="48"/>
      <c r="G12" s="36"/>
      <c r="H12" s="48" t="s">
        <v>224</v>
      </c>
      <c r="I12" s="48"/>
      <c r="J12" s="36"/>
      <c r="K12" s="38"/>
      <c r="L12" s="38"/>
      <c r="M12" s="16"/>
      <c r="N12" s="38"/>
      <c r="O12" s="38"/>
      <c r="P12" s="17"/>
    </row>
    <row r="13" spans="2:16" ht="30" customHeight="1">
      <c r="B13" s="14"/>
      <c r="C13" s="34" t="str">
        <f>VLOOKUP('RF3.2.1 - Historia de Usuario'!C10,'Formato descripción HU'!B6:O22,8,0)</f>
        <v>6 horas</v>
      </c>
      <c r="D13" s="35"/>
      <c r="E13" s="50" t="str">
        <f>VLOOKUP(C10,'Formato descripción HU'!B6:O22,10,0)</f>
        <v>Alta</v>
      </c>
      <c r="F13" s="50"/>
      <c r="G13" s="36"/>
      <c r="H13" s="50" t="str">
        <f>VLOOKUP(C10,'Formato descripción HU'!B6:O22,7,0)</f>
        <v>Marcos Escobar</v>
      </c>
      <c r="I13" s="50"/>
      <c r="J13" s="36"/>
      <c r="K13" s="38"/>
      <c r="L13" s="38"/>
      <c r="M13" s="16"/>
      <c r="N13" s="38"/>
      <c r="O13" s="38"/>
      <c r="P13" s="17"/>
    </row>
    <row r="14" spans="2:16" ht="9.75" customHeight="1">
      <c r="B14" s="14"/>
      <c r="C14" s="16"/>
      <c r="D14" s="35"/>
      <c r="E14" s="16"/>
      <c r="F14" s="16"/>
      <c r="G14" s="36"/>
      <c r="H14" s="36"/>
      <c r="I14" s="16"/>
      <c r="J14" s="16"/>
      <c r="K14" s="16"/>
      <c r="L14" s="16"/>
      <c r="M14" s="16"/>
      <c r="N14" s="16"/>
      <c r="O14" s="16"/>
      <c r="P14" s="17"/>
    </row>
    <row r="15" spans="2:16" ht="19.5" customHeight="1">
      <c r="B15" s="14"/>
      <c r="C15" s="51" t="s">
        <v>225</v>
      </c>
      <c r="D15" s="52" t="str">
        <f>VLOOKUP(C10,'Formato descripción HU'!B6:O22,3,0)</f>
        <v>Realizar una práctica para seleccionar la seña correcta.</v>
      </c>
      <c r="E15" s="52"/>
      <c r="F15" s="23"/>
      <c r="G15" s="51" t="s">
        <v>226</v>
      </c>
      <c r="H15" s="52" t="str">
        <f>VLOOKUP(C10,'Formato descripción HU'!B6:O22,4,0)</f>
        <v>Para que el sistema valide mi selección, me dé retroalimentación (Correcto/Incorrecto) y registre el resultado.</v>
      </c>
      <c r="I15" s="52"/>
      <c r="J15" s="52"/>
      <c r="K15" s="23"/>
      <c r="L15" s="51" t="s">
        <v>227</v>
      </c>
      <c r="M15" s="53" t="str">
        <f>VLOOKUP(C10,'Formato descripción HU'!B6:O22,6,0)</f>
        <v>El sistema muestra una seña y varias opciones. El padre elige una. El sistema da feedback y avanza.</v>
      </c>
      <c r="N15" s="53"/>
      <c r="O15" s="53"/>
      <c r="P15" s="17"/>
    </row>
    <row r="16" spans="2:16" ht="19.5" customHeight="1">
      <c r="B16" s="14"/>
      <c r="C16" s="51"/>
      <c r="D16" s="52"/>
      <c r="E16" s="52"/>
      <c r="F16" s="23"/>
      <c r="G16" s="51"/>
      <c r="H16" s="52"/>
      <c r="I16" s="52"/>
      <c r="J16" s="52"/>
      <c r="K16" s="23"/>
      <c r="L16" s="51"/>
      <c r="M16" s="53"/>
      <c r="N16" s="53"/>
      <c r="O16" s="53"/>
      <c r="P16" s="17"/>
    </row>
    <row r="17" spans="2:16" ht="19.5" customHeight="1">
      <c r="B17" s="14"/>
      <c r="C17" s="51"/>
      <c r="D17" s="52"/>
      <c r="E17" s="52"/>
      <c r="F17" s="23"/>
      <c r="G17" s="51"/>
      <c r="H17" s="52"/>
      <c r="I17" s="52"/>
      <c r="J17" s="52"/>
      <c r="K17" s="23"/>
      <c r="L17" s="51"/>
      <c r="M17" s="53"/>
      <c r="N17" s="53"/>
      <c r="O17" s="53"/>
      <c r="P17" s="17"/>
    </row>
    <row r="18" spans="2:16" ht="9.75" customHeight="1">
      <c r="B18" s="14"/>
      <c r="C18" s="16"/>
      <c r="D18" s="16"/>
      <c r="E18" s="16"/>
      <c r="F18" s="16"/>
      <c r="G18" s="36"/>
      <c r="H18" s="36"/>
      <c r="I18" s="36"/>
      <c r="J18" s="16"/>
      <c r="K18" s="16"/>
      <c r="L18" s="16"/>
      <c r="M18" s="16"/>
      <c r="N18" s="16"/>
      <c r="O18" s="16"/>
      <c r="P18" s="17"/>
    </row>
    <row r="19" spans="2:16" ht="19.5" customHeight="1">
      <c r="B19" s="14"/>
      <c r="C19" s="54" t="s">
        <v>228</v>
      </c>
      <c r="D19" s="54"/>
      <c r="E19" s="55" t="str">
        <f>VLOOKUP(C10,'Formato descripción HU'!B6:O22,14,0)</f>
        <v>Seleccionar seña correcta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17"/>
    </row>
    <row r="20" spans="2:16" ht="19.5" customHeight="1">
      <c r="B20" s="1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17"/>
    </row>
    <row r="21" spans="2:16" ht="9.75" customHeight="1">
      <c r="B21" s="1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19.5" customHeight="1">
      <c r="B22" s="14"/>
      <c r="C22" s="48" t="s">
        <v>229</v>
      </c>
      <c r="D22" s="48"/>
      <c r="E22" s="56" t="str">
        <f>VLOOKUP(C10,'Formato descripción HU'!B6:O22,12,0)</f>
        <v>Si no se carga la práctica, muestra error. El sistema debe dar feedback "Correcto" o "Incorrecto".</v>
      </c>
      <c r="F22" s="56"/>
      <c r="G22" s="56"/>
      <c r="H22" s="56"/>
      <c r="I22" s="16"/>
      <c r="J22" s="48" t="s">
        <v>13</v>
      </c>
      <c r="K22" s="48"/>
      <c r="L22" s="50" t="str">
        <f>VLOOKUP(C10,'Formato descripción HU'!B6:O22,13,0)</f>
        <v>Implementar la lógica del quiz: recibir la respuesta, validar y entregar retroalimentación inmediata.</v>
      </c>
      <c r="M22" s="50"/>
      <c r="N22" s="50"/>
      <c r="O22" s="50"/>
      <c r="P22" s="17"/>
    </row>
    <row r="23" spans="2:16" ht="19.5" customHeight="1">
      <c r="B23" s="14"/>
      <c r="C23" s="48"/>
      <c r="D23" s="48"/>
      <c r="E23" s="56"/>
      <c r="F23" s="56"/>
      <c r="G23" s="56"/>
      <c r="H23" s="56"/>
      <c r="I23" s="16"/>
      <c r="J23" s="48"/>
      <c r="K23" s="48"/>
      <c r="L23" s="50"/>
      <c r="M23" s="50"/>
      <c r="N23" s="50"/>
      <c r="O23" s="50"/>
      <c r="P23" s="17"/>
    </row>
    <row r="24" spans="2:16" ht="19.5" customHeight="1">
      <c r="B24" s="14"/>
      <c r="C24" s="48"/>
      <c r="D24" s="48"/>
      <c r="E24" s="56"/>
      <c r="F24" s="56"/>
      <c r="G24" s="56"/>
      <c r="H24" s="56"/>
      <c r="I24" s="16"/>
      <c r="J24" s="48"/>
      <c r="K24" s="48"/>
      <c r="L24" s="50"/>
      <c r="M24" s="50"/>
      <c r="N24" s="50"/>
      <c r="O24" s="50"/>
      <c r="P24" s="17"/>
    </row>
    <row r="25" spans="2:16" ht="9.7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E12:F12"/>
    <mergeCell ref="H12:I12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A65F7BB-48DD-4BA4-BCE2-6372E4125E3C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>1</cp:revision>
  <dcterms:created xsi:type="dcterms:W3CDTF">2025-11-11T12:29:14Z</dcterms:created>
  <dcterms:modified xsi:type="dcterms:W3CDTF">2025-11-18T03:05:44Z</dcterms:modified>
  <cp:category/>
  <cp:contentStatus/>
</cp:coreProperties>
</file>