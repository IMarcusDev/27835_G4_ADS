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E77B8E95-50DD-4598-8096-2A18CB532A5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acklog" sheetId="1" r:id="rId1"/>
    <sheet name="sprint0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C10" i="3" l="1"/>
  <c r="D10" i="3" s="1"/>
  <c r="E10" i="3" s="1"/>
  <c r="F10" i="3" s="1"/>
  <c r="G10" i="3" s="1"/>
  <c r="H10" i="3" s="1"/>
  <c r="C11" i="3"/>
  <c r="D11" i="3" s="1"/>
  <c r="E11" i="3" s="1"/>
  <c r="F11" i="3" s="1"/>
  <c r="G11" i="3" s="1"/>
  <c r="H11" i="3" s="1"/>
  <c r="I6" i="3"/>
  <c r="I7" i="3"/>
  <c r="I8" i="3"/>
  <c r="I5" i="3"/>
  <c r="I4" i="3"/>
</calcChain>
</file>

<file path=xl/sharedStrings.xml><?xml version="1.0" encoding="utf-8"?>
<sst xmlns="http://schemas.openxmlformats.org/spreadsheetml/2006/main" count="230" uniqueCount="161">
  <si>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</si>
  <si>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</si>
  <si>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</si>
  <si>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</si>
  <si>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</si>
  <si>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</si>
  <si>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</si>
  <si>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</si>
  <si>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RF001</t>
  </si>
  <si>
    <t>Registrar Usuario</t>
  </si>
  <si>
    <t>Padre o docente</t>
  </si>
  <si>
    <t>Registrarse ingresando datos personales y rol.</t>
  </si>
  <si>
    <t>Crear una cuenta única para acceder a los servicios de la app.</t>
  </si>
  <si>
    <t>Es crítico informar claramente al usuario si el correo ya está en uso para evitar confusión, y asegurar que la contraseña nunca viaje en texto plano.</t>
  </si>
  <si>
    <t>Alta</t>
  </si>
  <si>
    <t>Terminado</t>
  </si>
  <si>
    <t>RF002</t>
  </si>
  <si>
    <t>Iniciar Sesión</t>
  </si>
  <si>
    <t>Ingresar credenciales (correo/contraseña)</t>
  </si>
  <si>
    <t>Autenticarse de forma segura y acceder a las funciones propias de mi rol.</t>
  </si>
  <si>
    <t>Por seguridad, los mensajes de error no deben especificar si falló el correo o la contraseña para prevenir ataques de enumeración de usuarios.</t>
  </si>
  <si>
    <t>RF003</t>
  </si>
  <si>
    <t>Realizar Prueba de Conocimiento</t>
  </si>
  <si>
    <t>Padre</t>
  </si>
  <si>
    <t>Realizar prueba de conocimiento inicial (Cuestionario).</t>
  </si>
  <si>
    <t>Determinar mi nivel (Principiante/Intermedio) y categoría etaria para personalizar el contenido.</t>
  </si>
  <si>
    <t>Este cuestionario es un paso obligatorio en el primer acceso; se debe asegurar que el usuario no pueda navegar a otras secciones sin completarlo.</t>
  </si>
  <si>
    <t>En Proceso</t>
  </si>
  <si>
    <t>RF004</t>
  </si>
  <si>
    <t>Importar Contenido</t>
  </si>
  <si>
    <t>Docente</t>
  </si>
  <si>
    <t>Subir videos e imágenes con sus respectivos metadatos.</t>
  </si>
  <si>
    <t>Poblar el sistema con lecciones estructuradas para el aprendizaje de los padres.</t>
  </si>
  <si>
    <t>Dado el tamaño de los archivos, es importante mostrar una barra de progreso real para evitar que el usuario piense que el sistema se congeló.</t>
  </si>
  <si>
    <t>RF005</t>
  </si>
  <si>
    <t>Categorizar Frases Comunes</t>
  </si>
  <si>
    <t>Navegar un diccionario categorizado de frases comunes.</t>
  </si>
  <si>
    <t>Consultar señas rápidas (baño, comer) sin necesidad de entrar a una lección.</t>
  </si>
  <si>
    <t>Los videos en esta sección deben ser cortos y reproducirse en bucle automáticamente para funcionar como una referencia rápida y ágil.</t>
  </si>
  <si>
    <t>No iniciado</t>
  </si>
  <si>
    <t>RF006</t>
  </si>
  <si>
    <t>Generar Código de Clase</t>
  </si>
  <si>
    <t>Generar un código único para una nueva clase.</t>
  </si>
  <si>
    <t>Compartir el acceso de manera sencilla y agrupar a los padres en una lista de seguimiento.</t>
  </si>
  <si>
    <t>El código generado debe ser fácil de leer y dictar, evitando caracteres ambiguos como la 'O' y el '0' o la 'I' y el '1'.</t>
  </si>
  <si>
    <t>RF007</t>
  </si>
  <si>
    <t>Enlazar Clase</t>
  </si>
  <si>
    <t>Ingresar el código de clase proporcionado por el docente.</t>
  </si>
  <si>
    <t>Desbloquear los contenidos asignados y permitir el seguimiento del docente.</t>
  </si>
  <si>
    <t>Se debe considerar que, en esta versión, un padre solo puede pertenecer a una clase activa a la vez para no fragmentar el reporte de progreso.</t>
  </si>
  <si>
    <t>RF008</t>
  </si>
  <si>
    <t>Categorizar Aprendizaje de Señas</t>
  </si>
  <si>
    <t>Ver contenidos filtrados por la edad del hijo (1-3, 3-5 años).</t>
  </si>
  <si>
    <t>Acceder solo al material relevante para mi contexto familiar y nivel educativo.</t>
  </si>
  <si>
    <t>Si una categoría aún no tiene contenido cargado por el docente, el sistema debe ocultarla o mostrar un mensaje amigable de "Próximamente".</t>
  </si>
  <si>
    <t>RF008.1</t>
  </si>
  <si>
    <t>Practicar Señas en Nivel Principiante</t>
  </si>
  <si>
    <t>Visualizar contenido de nivel principiante (videos e imágenes).</t>
  </si>
  <si>
    <t>Familiarizarse con el vocabulario básico y señas fundamentales.</t>
  </si>
  <si>
    <t>Es importante implementar "Lazy Loading" en las imágenes para no saturar la memoria del dispositivo al cargar la lista.</t>
  </si>
  <si>
    <t>RF008.2</t>
  </si>
  <si>
    <t>Practicar Señas en Nivel Intermedio</t>
  </si>
  <si>
    <t>Practicar señas en nivel intermedio con selección y asociación.</t>
  </si>
  <si>
    <t>Reforzar la memoria visual y la relación concepto-seña.</t>
  </si>
  <si>
    <t>Este módulo actúa como contenedor de los ejercicios RF008.2.1 y RF008.2.2; su correcta navegación es vital.</t>
  </si>
  <si>
    <t>RF008.2.1</t>
  </si>
  <si>
    <t>Seleccionar Seña Correcta</t>
  </si>
  <si>
    <t>Seleccionar la palabra correcta correspondiente a un video de seña.</t>
  </si>
  <si>
    <t>Validar si reconozco visualmente el vocabulario aprendido en la lección.</t>
  </si>
  <si>
    <t>Las opciones de respuesta deben ordenarse aleatoriamente en cada intento para evitar que el usuario memorice la posición en lugar del concepto.</t>
  </si>
  <si>
    <t>RF008.2.2</t>
  </si>
  <si>
    <t>Practicar por Asociación Visual</t>
  </si>
  <si>
    <t>Arrastrar imágenes hacia sus etiquetas de texto correspondientes.</t>
  </si>
  <si>
    <t>Reforzar la conexión mental entre la imagen de la seña y la palabra escrita.</t>
  </si>
  <si>
    <t>Es vital que la zona táctil de arrastre sea lo suficientemente grande para asegurar la usabilidad en pantallas de móviles pequeñas.</t>
  </si>
  <si>
    <t>RF008.3</t>
  </si>
  <si>
    <t>Practicar Señas en Nivel Avanzado</t>
  </si>
  <si>
    <t>Practicar señas en nivel avanzado con uso de cámara.</t>
  </si>
  <si>
    <t>Perfeccionar la técnica y fluidez mediante la imitación y producción de señas.</t>
  </si>
  <si>
    <t>Este nivel requiere mayor procesamiento del dispositivo; se debe advertir al usuario si su batería es baja</t>
  </si>
  <si>
    <t>RF008.3.1</t>
  </si>
  <si>
    <t>Practicar Señas con Ejemplo Visual</t>
  </si>
  <si>
    <t>Imitar una seña frente a la cámara con guía visual en pantalla.</t>
  </si>
  <si>
    <t>Verificar si mi ejecución física de la seña es correcta mediante comparación.</t>
  </si>
  <si>
    <t>La funcionalidad depende de la iluminación ambiental; el sistema debe advertir al usuario si la cámara detecta oscuridad excesiva.</t>
  </si>
  <si>
    <t>RF008.3.2</t>
  </si>
  <si>
    <t>Practicar Imitación de Señas por Audio</t>
  </si>
  <si>
    <t>Escuchar un audio e imitar la seña correspondiente frente a la cámara.</t>
  </si>
  <si>
    <t>Evaluar la memoria auditiva y la ejecución de la seña sin ver el ejemplo visual.</t>
  </si>
  <si>
    <t>Se debe verificar que el volumen del dispositivo no esté en silencio antes de iniciar para asegurar que el usuario escuche la instrucción.</t>
  </si>
  <si>
    <t>RF009</t>
  </si>
  <si>
    <t>Visualizar Progreso</t>
  </si>
  <si>
    <t>Visualizar gráficos de progreso y errores de los padres alumnos.</t>
  </si>
  <si>
    <t>Identificar qué estudiantes necesitan refuerzo en temas específicos.</t>
  </si>
  <si>
    <t>Los gráficos deben ser claros y sencillos; un exceso de información visual puede dificultar la interpretación rápida por parte del docente.</t>
  </si>
  <si>
    <t>RF010</t>
  </si>
  <si>
    <t>Ver Historial de Palabras Aprendidas</t>
  </si>
  <si>
    <t>Ver el historial detallado de palabras aprendidas por el estudiante.</t>
  </si>
  <si>
    <t>Conocer el léxico efectivo que el padre ya maneja para personalizar futuras prácticas.</t>
  </si>
  <si>
    <t>La lista de palabras puede crecer considerablemente con el tiempo; se debe considerar implementar paginación o un botón de "Ver más" si excede cierto número.</t>
  </si>
  <si>
    <t>RF011</t>
  </si>
  <si>
    <t xml:space="preserve">Comprar Membresía </t>
  </si>
  <si>
    <t>Comprar membresía mediante pago online con tarjeta.</t>
  </si>
  <si>
    <t>Acceder a las herramientas exclusivas como el traductor y juegos avanzados.</t>
  </si>
  <si>
    <t>No se deben almacenar datos completos de las tarjetas de crédito en la aplicación; toda transacción sensible debe delegarse a la pasarela segura.</t>
  </si>
  <si>
    <t>RF012</t>
  </si>
  <si>
    <t>Acceder a Contenido Exclusivo</t>
  </si>
  <si>
    <t>Validar el acceso a contenido exclusivo (Traductor/Juegos).</t>
  </si>
  <si>
    <t>Restringir las funciones avanzadas y garantizar la monetización del servicio.</t>
  </si>
  <si>
    <t>La validación debe ser extremadamente rápida para no afectar la experiencia del usuario Premium; se recomienda guardar el estado de la suscripción en el almacenamiento local seguro.</t>
  </si>
  <si>
    <t>RF012.1</t>
  </si>
  <si>
    <t>Traducir Texto Breve</t>
  </si>
  <si>
    <t>Escribir un texto breve y ver su traducción a señas.</t>
  </si>
  <si>
    <t>Comunicarme en tiempo real traduciendo frases nuevas que no están en las lecciones.</t>
  </si>
  <si>
    <t>Es importante notificar al usuario cuando la palabra no existe y se usa el deletreo, para que sepa que está viendo letras y no una seña completa.</t>
  </si>
  <si>
    <t>RF012.2</t>
  </si>
  <si>
    <t>Enseñar con Aprendizaje Dinámico</t>
  </si>
  <si>
    <t>Enseñar con aprendizaje dinámico (Juegos).</t>
  </si>
  <si>
    <t>Mantener el interés mediante actividades lúdicas gamificadas.</t>
  </si>
  <si>
    <t>Esta sección es exclusiva de usuarios Premium; debe validarse el estado de la suscripción antes de entrar.</t>
  </si>
  <si>
    <t>RF012.2.1</t>
  </si>
  <si>
    <t>Enseñar con Juego de Memoria</t>
  </si>
  <si>
    <t>Enseñar con juegos de memoria reconociendo señas.</t>
  </si>
  <si>
    <t>Evaluar la velocidad y precisión de reconocimiento en un entorno de juego</t>
  </si>
  <si>
    <t>Diferenciar visualmente del ejercicio de práctica normal (usar sonidos de juego, confeti, barras de vida).</t>
  </si>
  <si>
    <t>RF012.2.2</t>
  </si>
  <si>
    <t>Enseñar con Juegos de Imitación de Señas</t>
  </si>
  <si>
    <t>Enseñar con juegos de imitación de señas.</t>
  </si>
  <si>
    <t>Gamificar la producción de señas mediante retos de imitación.</t>
  </si>
  <si>
    <t>Requiere alta optimización del modelo de reconocimiento para no tener latencia (lag) durante el juego rápido.</t>
  </si>
  <si>
    <t>RF013</t>
  </si>
  <si>
    <t>Filtrar Contenido</t>
  </si>
  <si>
    <t>Filtrar contenido escribiendo palabras clave en un buscador.</t>
  </si>
  <si>
    <t>Encontrar una lección o seña específica rápidamente.</t>
  </si>
  <si>
    <t>El buscador debe ser insensible a mayúsculas, minúsculas y tildes para facilitar su uso a personas con distintos niveles de alfabetización.</t>
  </si>
  <si>
    <t>Media</t>
  </si>
  <si>
    <t>RF014</t>
  </si>
  <si>
    <t>Descargar Contenido del Sistema</t>
  </si>
  <si>
    <t>Descargar módulos completos al almacenamiento local del dispositivo.</t>
  </si>
  <si>
    <t>Estudiar y practicar en zonas sin conexión a internet.</t>
  </si>
  <si>
    <t>Es fundamental verificar el espacio disponible en el dispositivo antes de iniciar la descarga para evitar errores o corrupción de archivos.</t>
  </si>
  <si>
    <t>RF015</t>
  </si>
  <si>
    <t>Guía por Funcionalidad del Sistema</t>
  </si>
  <si>
    <t>Ver una guía interactiva durante el primer inicio de sesión.</t>
  </si>
  <si>
    <t>Entender rápidamente cómo enlazar una clase y empezar a usar la app.</t>
  </si>
  <si>
    <t>La guía debe ser opcional; el usuario debe tener siempre un botón visible para "Omitir" si prefiere explorar la aplicación por su cuenta.</t>
  </si>
  <si>
    <t>Baja</t>
  </si>
  <si>
    <t>Estimado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</si>
  <si>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</si>
  <si>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</si>
  <si>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</si>
  <si>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</si>
  <si>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</si>
  <si>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</si>
  <si>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</si>
  <si>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</si>
  <si>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</si>
  <si>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</si>
  <si>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REQ001-5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</si>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</sst>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sz val="10"/>
      <color theme="1"/>
      <name val="Times New Roman"/>
    </font>
    <font>
      <b/>
      <sz val="12"/>
      <color theme="1"/>
      <name val="Times New Roman"/>
    </font>
    <font>
      <sz val="10"/>
      <color rgb="FF000000"/>
      <name val="Times New Roman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4" borderId="1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638175</xdr:colOff>
      <xdr:row>0</xdr:row>
      <xdr:rowOff>19050</xdr:rowOff>
    </xdr:from>
    <xdr:ext cx="0" cy="0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8" headerRowCount="0" headerRowDxfId="3" dataDxfId="2" totalsRowDxfId="1">
  <tableColumns count="1">
    <tableColumn id="1" xr3:uid="{00000000-0010-0000-0000-000001000000}" name="Column1" dataDxfId="0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abSelected="1" topLeftCell="A14" workbookViewId="0">
      <selection activeCell="B17" sqref="B17"/>
    </sheetView>
  </sheetViews>
  <sheetFormatPr defaultColWidth="12.5703125" defaultRowHeight="15" customHeight="1"/>
  <cols>
    <col min="1" max="1" width="12.42578125" customWidth="1"/>
    <col min="2" max="2" width="30.28515625" customWidth="1"/>
    <col min="3" max="3" width="36" customWidth="1"/>
    <col min="4" max="4" width="41.42578125" customWidth="1"/>
    <col min="5" max="5" width="54.42578125" customWidth="1"/>
    <col min="6" max="6" width="34" customWidth="1"/>
    <col min="7" max="26" width="12.42578125" customWidth="1"/>
  </cols>
  <sheetData>
    <row r="1" spans="1:26" ht="27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1">
      <c r="A2" s="6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1">
      <c r="A3" s="6" t="s">
        <v>16</v>
      </c>
      <c r="B3" s="5" t="s">
        <v>17</v>
      </c>
      <c r="C3" s="5" t="s">
        <v>10</v>
      </c>
      <c r="D3" s="5" t="s">
        <v>18</v>
      </c>
      <c r="E3" s="5" t="s">
        <v>19</v>
      </c>
      <c r="F3" s="5" t="s">
        <v>20</v>
      </c>
      <c r="G3" s="5" t="s">
        <v>14</v>
      </c>
      <c r="H3" s="5" t="s">
        <v>15</v>
      </c>
    </row>
    <row r="4" spans="1:26" ht="51">
      <c r="A4" s="6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14</v>
      </c>
      <c r="H4" s="5" t="s">
        <v>27</v>
      </c>
    </row>
    <row r="5" spans="1:26" ht="51">
      <c r="A5" s="6" t="s">
        <v>28</v>
      </c>
      <c r="B5" s="5" t="s">
        <v>29</v>
      </c>
      <c r="C5" s="5" t="s">
        <v>30</v>
      </c>
      <c r="D5" s="7" t="s">
        <v>31</v>
      </c>
      <c r="E5" s="5" t="s">
        <v>32</v>
      </c>
      <c r="F5" s="5" t="s">
        <v>33</v>
      </c>
      <c r="G5" s="5" t="s">
        <v>14</v>
      </c>
      <c r="H5" s="5" t="s">
        <v>27</v>
      </c>
    </row>
    <row r="6" spans="1:26" ht="51">
      <c r="A6" s="6" t="s">
        <v>34</v>
      </c>
      <c r="B6" s="5" t="s">
        <v>35</v>
      </c>
      <c r="C6" s="5" t="s">
        <v>23</v>
      </c>
      <c r="D6" s="8" t="s">
        <v>36</v>
      </c>
      <c r="E6" s="5" t="s">
        <v>37</v>
      </c>
      <c r="F6" s="5" t="s">
        <v>38</v>
      </c>
      <c r="G6" s="5" t="s">
        <v>14</v>
      </c>
      <c r="H6" s="5" t="s">
        <v>39</v>
      </c>
    </row>
    <row r="7" spans="1:26" ht="38.25">
      <c r="A7" s="6" t="s">
        <v>40</v>
      </c>
      <c r="B7" s="5" t="s">
        <v>41</v>
      </c>
      <c r="C7" s="5" t="s">
        <v>30</v>
      </c>
      <c r="D7" s="7" t="s">
        <v>42</v>
      </c>
      <c r="E7" s="5" t="s">
        <v>43</v>
      </c>
      <c r="F7" s="5" t="s">
        <v>44</v>
      </c>
      <c r="G7" s="5" t="s">
        <v>14</v>
      </c>
      <c r="H7" s="5" t="s">
        <v>39</v>
      </c>
    </row>
    <row r="8" spans="1:26" ht="51">
      <c r="A8" s="6" t="s">
        <v>45</v>
      </c>
      <c r="B8" s="5" t="s">
        <v>46</v>
      </c>
      <c r="C8" s="5" t="s">
        <v>23</v>
      </c>
      <c r="D8" s="7" t="s">
        <v>47</v>
      </c>
      <c r="E8" s="5" t="s">
        <v>48</v>
      </c>
      <c r="F8" s="5" t="s">
        <v>49</v>
      </c>
      <c r="G8" s="5" t="s">
        <v>14</v>
      </c>
      <c r="H8" s="5" t="s">
        <v>39</v>
      </c>
    </row>
    <row r="9" spans="1:26" ht="51">
      <c r="A9" s="6" t="s">
        <v>50</v>
      </c>
      <c r="B9" s="5" t="s">
        <v>51</v>
      </c>
      <c r="C9" s="5" t="s">
        <v>23</v>
      </c>
      <c r="D9" s="5" t="s">
        <v>52</v>
      </c>
      <c r="E9" s="5" t="s">
        <v>53</v>
      </c>
      <c r="F9" s="5" t="s">
        <v>54</v>
      </c>
      <c r="G9" s="5" t="s">
        <v>14</v>
      </c>
      <c r="H9" s="5" t="s">
        <v>39</v>
      </c>
    </row>
    <row r="10" spans="1:26" ht="38.25">
      <c r="A10" s="6" t="s">
        <v>55</v>
      </c>
      <c r="B10" s="5" t="s">
        <v>56</v>
      </c>
      <c r="C10" s="5" t="s">
        <v>23</v>
      </c>
      <c r="D10" s="5" t="s">
        <v>57</v>
      </c>
      <c r="E10" s="5" t="s">
        <v>58</v>
      </c>
      <c r="F10" s="5" t="s">
        <v>59</v>
      </c>
      <c r="G10" s="5" t="s">
        <v>14</v>
      </c>
      <c r="H10" s="5" t="s">
        <v>39</v>
      </c>
    </row>
    <row r="11" spans="1:26" ht="38.25">
      <c r="A11" s="6" t="s">
        <v>60</v>
      </c>
      <c r="B11" s="5" t="s">
        <v>61</v>
      </c>
      <c r="C11" s="5" t="s">
        <v>23</v>
      </c>
      <c r="D11" s="5" t="s">
        <v>62</v>
      </c>
      <c r="E11" s="5" t="s">
        <v>63</v>
      </c>
      <c r="F11" s="5" t="s">
        <v>64</v>
      </c>
      <c r="G11" s="5" t="s">
        <v>14</v>
      </c>
      <c r="H11" s="5" t="s">
        <v>39</v>
      </c>
    </row>
    <row r="12" spans="1:26" ht="51">
      <c r="A12" s="6" t="s">
        <v>65</v>
      </c>
      <c r="B12" s="5" t="s">
        <v>66</v>
      </c>
      <c r="C12" s="5" t="s">
        <v>23</v>
      </c>
      <c r="D12" s="5" t="s">
        <v>67</v>
      </c>
      <c r="E12" s="5" t="s">
        <v>68</v>
      </c>
      <c r="F12" s="5" t="s">
        <v>69</v>
      </c>
      <c r="G12" s="5" t="s">
        <v>14</v>
      </c>
      <c r="H12" s="5" t="s">
        <v>39</v>
      </c>
    </row>
    <row r="13" spans="1:26" ht="51">
      <c r="A13" s="6" t="s">
        <v>70</v>
      </c>
      <c r="B13" s="5" t="s">
        <v>71</v>
      </c>
      <c r="C13" s="5" t="s">
        <v>23</v>
      </c>
      <c r="D13" s="5" t="s">
        <v>72</v>
      </c>
      <c r="E13" s="5" t="s">
        <v>73</v>
      </c>
      <c r="F13" s="5" t="s">
        <v>74</v>
      </c>
      <c r="G13" s="5" t="s">
        <v>14</v>
      </c>
      <c r="H13" s="5" t="s">
        <v>39</v>
      </c>
    </row>
    <row r="14" spans="1:26" ht="38.25">
      <c r="A14" s="6" t="s">
        <v>75</v>
      </c>
      <c r="B14" s="5" t="s">
        <v>76</v>
      </c>
      <c r="C14" s="5" t="s">
        <v>23</v>
      </c>
      <c r="D14" s="5" t="s">
        <v>77</v>
      </c>
      <c r="E14" s="5" t="s">
        <v>78</v>
      </c>
      <c r="F14" s="5" t="s">
        <v>79</v>
      </c>
      <c r="G14" s="5" t="s">
        <v>14</v>
      </c>
      <c r="H14" s="5" t="s">
        <v>39</v>
      </c>
    </row>
    <row r="15" spans="1:26" ht="51">
      <c r="A15" s="6" t="s">
        <v>80</v>
      </c>
      <c r="B15" s="5" t="s">
        <v>81</v>
      </c>
      <c r="C15" s="5" t="s">
        <v>23</v>
      </c>
      <c r="D15" s="5" t="s">
        <v>82</v>
      </c>
      <c r="E15" s="5" t="s">
        <v>83</v>
      </c>
      <c r="F15" s="5" t="s">
        <v>84</v>
      </c>
      <c r="G15" s="5" t="s">
        <v>14</v>
      </c>
      <c r="H15" s="5" t="s">
        <v>39</v>
      </c>
    </row>
    <row r="16" spans="1:26" ht="51">
      <c r="A16" s="6" t="s">
        <v>85</v>
      </c>
      <c r="B16" s="5" t="s">
        <v>86</v>
      </c>
      <c r="C16" s="5" t="s">
        <v>23</v>
      </c>
      <c r="D16" s="5" t="s">
        <v>87</v>
      </c>
      <c r="E16" s="5" t="s">
        <v>88</v>
      </c>
      <c r="F16" s="5" t="s">
        <v>89</v>
      </c>
      <c r="G16" s="5" t="s">
        <v>14</v>
      </c>
      <c r="H16" s="5" t="s">
        <v>39</v>
      </c>
    </row>
    <row r="17" spans="1:8" ht="51">
      <c r="A17" s="6" t="s">
        <v>90</v>
      </c>
      <c r="B17" s="5" t="s">
        <v>91</v>
      </c>
      <c r="C17" s="5" t="s">
        <v>30</v>
      </c>
      <c r="D17" s="5" t="s">
        <v>92</v>
      </c>
      <c r="E17" s="5" t="s">
        <v>93</v>
      </c>
      <c r="F17" s="5" t="s">
        <v>94</v>
      </c>
      <c r="G17" s="5" t="s">
        <v>14</v>
      </c>
      <c r="H17" s="5" t="s">
        <v>39</v>
      </c>
    </row>
    <row r="18" spans="1:8" ht="51">
      <c r="A18" s="6" t="s">
        <v>95</v>
      </c>
      <c r="B18" s="5" t="s">
        <v>96</v>
      </c>
      <c r="C18" s="5" t="s">
        <v>30</v>
      </c>
      <c r="D18" s="5" t="s">
        <v>97</v>
      </c>
      <c r="E18" s="5" t="s">
        <v>98</v>
      </c>
      <c r="F18" s="5" t="s">
        <v>99</v>
      </c>
      <c r="G18" s="5" t="s">
        <v>14</v>
      </c>
      <c r="H18" s="5" t="s">
        <v>39</v>
      </c>
    </row>
    <row r="19" spans="1:8" ht="51">
      <c r="A19" s="6" t="s">
        <v>100</v>
      </c>
      <c r="B19" s="5" t="s">
        <v>101</v>
      </c>
      <c r="C19" s="5" t="s">
        <v>23</v>
      </c>
      <c r="D19" s="5" t="s">
        <v>102</v>
      </c>
      <c r="E19" s="5" t="s">
        <v>103</v>
      </c>
      <c r="F19" s="5" t="s">
        <v>104</v>
      </c>
      <c r="G19" s="5" t="s">
        <v>14</v>
      </c>
      <c r="H19" s="5" t="s">
        <v>39</v>
      </c>
    </row>
    <row r="20" spans="1:8" ht="63.75">
      <c r="A20" s="6" t="s">
        <v>105</v>
      </c>
      <c r="B20" s="5" t="s">
        <v>106</v>
      </c>
      <c r="C20" s="5" t="s">
        <v>23</v>
      </c>
      <c r="D20" s="5" t="s">
        <v>107</v>
      </c>
      <c r="E20" s="5" t="s">
        <v>108</v>
      </c>
      <c r="F20" s="5" t="s">
        <v>109</v>
      </c>
      <c r="G20" s="5" t="s">
        <v>14</v>
      </c>
      <c r="H20" s="5" t="s">
        <v>39</v>
      </c>
    </row>
    <row r="21" spans="1:8" ht="51">
      <c r="A21" s="6" t="s">
        <v>110</v>
      </c>
      <c r="B21" s="5" t="s">
        <v>111</v>
      </c>
      <c r="C21" s="5" t="s">
        <v>23</v>
      </c>
      <c r="D21" s="5" t="s">
        <v>112</v>
      </c>
      <c r="E21" s="5" t="s">
        <v>113</v>
      </c>
      <c r="F21" s="5" t="s">
        <v>114</v>
      </c>
      <c r="G21" s="5" t="s">
        <v>14</v>
      </c>
      <c r="H21" s="5" t="s">
        <v>39</v>
      </c>
    </row>
    <row r="22" spans="1:8" ht="38.25">
      <c r="A22" s="6" t="s">
        <v>115</v>
      </c>
      <c r="B22" s="5" t="s">
        <v>116</v>
      </c>
      <c r="C22" s="5" t="s">
        <v>23</v>
      </c>
      <c r="D22" s="5" t="s">
        <v>117</v>
      </c>
      <c r="E22" s="5" t="s">
        <v>118</v>
      </c>
      <c r="F22" s="5" t="s">
        <v>119</v>
      </c>
      <c r="G22" s="5" t="s">
        <v>14</v>
      </c>
      <c r="H22" s="5" t="s">
        <v>39</v>
      </c>
    </row>
    <row r="23" spans="1:8" ht="38.25">
      <c r="A23" s="6" t="s">
        <v>120</v>
      </c>
      <c r="B23" s="5" t="s">
        <v>121</v>
      </c>
      <c r="C23" s="5" t="s">
        <v>23</v>
      </c>
      <c r="D23" s="5" t="s">
        <v>122</v>
      </c>
      <c r="E23" s="5" t="s">
        <v>123</v>
      </c>
      <c r="F23" s="5" t="s">
        <v>124</v>
      </c>
      <c r="G23" s="5" t="s">
        <v>14</v>
      </c>
      <c r="H23" s="5" t="s">
        <v>39</v>
      </c>
    </row>
    <row r="24" spans="1:8" ht="38.25">
      <c r="A24" s="6" t="s">
        <v>125</v>
      </c>
      <c r="B24" s="5" t="s">
        <v>126</v>
      </c>
      <c r="C24" s="5" t="s">
        <v>23</v>
      </c>
      <c r="D24" s="5" t="s">
        <v>127</v>
      </c>
      <c r="E24" s="5" t="s">
        <v>128</v>
      </c>
      <c r="F24" s="5" t="s">
        <v>129</v>
      </c>
      <c r="G24" s="5" t="s">
        <v>14</v>
      </c>
      <c r="H24" s="5" t="s">
        <v>39</v>
      </c>
    </row>
    <row r="25" spans="1:8" ht="51">
      <c r="A25" s="6" t="s">
        <v>130</v>
      </c>
      <c r="B25" s="5" t="s">
        <v>131</v>
      </c>
      <c r="C25" s="5" t="s">
        <v>23</v>
      </c>
      <c r="D25" s="5" t="s">
        <v>132</v>
      </c>
      <c r="E25" s="5" t="s">
        <v>133</v>
      </c>
      <c r="F25" s="5" t="s">
        <v>134</v>
      </c>
      <c r="G25" s="5" t="s">
        <v>135</v>
      </c>
      <c r="H25" s="5" t="s">
        <v>39</v>
      </c>
    </row>
    <row r="26" spans="1:8" ht="51">
      <c r="A26" s="6" t="s">
        <v>136</v>
      </c>
      <c r="B26" s="5" t="s">
        <v>137</v>
      </c>
      <c r="C26" s="5" t="s">
        <v>23</v>
      </c>
      <c r="D26" s="5" t="s">
        <v>138</v>
      </c>
      <c r="E26" s="5" t="s">
        <v>139</v>
      </c>
      <c r="F26" s="5" t="s">
        <v>140</v>
      </c>
      <c r="G26" s="5" t="s">
        <v>135</v>
      </c>
      <c r="H26" s="5" t="s">
        <v>39</v>
      </c>
    </row>
    <row r="27" spans="1:8" ht="51">
      <c r="A27" s="6" t="s">
        <v>141</v>
      </c>
      <c r="B27" s="5" t="s">
        <v>142</v>
      </c>
      <c r="C27" s="5" t="s">
        <v>23</v>
      </c>
      <c r="D27" s="5" t="s">
        <v>143</v>
      </c>
      <c r="E27" s="5" t="s">
        <v>144</v>
      </c>
      <c r="F27" s="5" t="s">
        <v>145</v>
      </c>
      <c r="G27" s="5" t="s">
        <v>146</v>
      </c>
      <c r="H27" s="5" t="s">
        <v>39</v>
      </c>
    </row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O1:AA978"/>
  <sheetViews>
    <sheetView workbookViewId="0">
      <selection activeCell="M58" sqref="M58"/>
    </sheetView>
  </sheetViews>
  <sheetFormatPr defaultColWidth="12.5703125" defaultRowHeight="15" customHeight="1"/>
  <cols>
    <col min="1" max="2" width="12.42578125" customWidth="1"/>
    <col min="3" max="4" width="18.85546875" customWidth="1"/>
    <col min="5" max="5" width="20.42578125" customWidth="1"/>
    <col min="6" max="6" width="56.140625" customWidth="1"/>
    <col min="7" max="7" width="12.42578125" customWidth="1"/>
    <col min="8" max="8" width="18.28515625" customWidth="1"/>
    <col min="9" max="27" width="12.42578125" customWidth="1"/>
  </cols>
  <sheetData>
    <row r="1" spans="15:27" ht="15.75" customHeight="1"/>
    <row r="2" spans="15:27" ht="15.75" customHeight="1"/>
    <row r="3" spans="15:27" ht="15.75" customHeight="1"/>
    <row r="4" spans="15:27" ht="12.75"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5:27" ht="12.75"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5:27" ht="12.75"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5:27" ht="12.75"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5:27" ht="12.75"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5:27" ht="12.75"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5:27" ht="15.75" customHeight="1"/>
    <row r="11" spans="15:27" ht="15.75" customHeight="1"/>
    <row r="12" spans="15:27" ht="12.75"/>
    <row r="13" spans="15:27" ht="12.75"/>
    <row r="14" spans="15:27" ht="12.75"/>
    <row r="15" spans="15:27" ht="12.75"/>
    <row r="16" spans="15:27" ht="12.75"/>
    <row r="17" ht="12.75"/>
    <row r="18" ht="12.75"/>
    <row r="19" ht="15.75" customHeight="1"/>
    <row r="20" ht="15.75" customHeight="1"/>
    <row r="21" ht="12.75"/>
    <row r="22" ht="12.75"/>
    <row r="23" ht="12.75"/>
    <row r="24" ht="12.75"/>
    <row r="25" ht="15.75" customHeight="1"/>
    <row r="26" ht="15.75" customHeight="1"/>
    <row r="27" ht="15.75" customHeight="1"/>
    <row r="28" ht="12.75"/>
    <row r="29" ht="12.75"/>
    <row r="30" ht="12.75"/>
    <row r="31" ht="12.75"/>
    <row r="32" ht="15.75" customHeight="1"/>
    <row r="33" ht="15.75" customHeight="1"/>
    <row r="34" ht="15.75" customHeight="1"/>
    <row r="35" ht="12.75"/>
    <row r="36" ht="12.75"/>
    <row r="37" ht="12.75"/>
    <row r="38" ht="15.75" customHeight="1"/>
    <row r="39" ht="12.75"/>
    <row r="40" ht="15.75" customHeight="1"/>
    <row r="41" ht="15.75" customHeight="1"/>
    <row r="42" ht="15.75" customHeight="1"/>
    <row r="43" ht="12.75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2.75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5"/>
  <sheetViews>
    <sheetView workbookViewId="0">
      <selection activeCell="M12" sqref="M12"/>
    </sheetView>
  </sheetViews>
  <sheetFormatPr defaultColWidth="12.5703125" defaultRowHeight="15" customHeight="1"/>
  <cols>
    <col min="1" max="1" width="12.42578125" customWidth="1"/>
    <col min="2" max="2" width="24.42578125" customWidth="1"/>
    <col min="3" max="26" width="12.42578125" customWidth="1"/>
  </cols>
  <sheetData>
    <row r="1" spans="1:9" ht="15.75" customHeight="1"/>
    <row r="2" spans="1:9" ht="15.75" customHeight="1"/>
    <row r="3" spans="1:9" ht="30.75">
      <c r="B3" s="6"/>
      <c r="C3" s="6" t="s">
        <v>147</v>
      </c>
      <c r="D3" s="6" t="s">
        <v>148</v>
      </c>
      <c r="E3" s="6" t="s">
        <v>149</v>
      </c>
      <c r="F3" s="6" t="s">
        <v>150</v>
      </c>
      <c r="G3" s="6" t="s">
        <v>151</v>
      </c>
      <c r="H3" s="6" t="s">
        <v>152</v>
      </c>
      <c r="I3" s="6" t="s">
        <v>153</v>
      </c>
    </row>
    <row r="4" spans="1:9" ht="15.75" customHeight="1">
      <c r="A4" s="10"/>
      <c r="B4" s="9" t="s">
        <v>154</v>
      </c>
      <c r="C4" s="11">
        <v>3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3">
        <f t="shared" ref="I4:I8" si="0">SUM(D4:H4)</f>
        <v>0</v>
      </c>
    </row>
    <row r="5" spans="1:9" ht="15.75" customHeight="1">
      <c r="A5" s="10"/>
      <c r="B5" s="9" t="s">
        <v>155</v>
      </c>
      <c r="C5" s="11">
        <v>2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3">
        <f t="shared" si="0"/>
        <v>0</v>
      </c>
    </row>
    <row r="6" spans="1:9" ht="15.75" customHeight="1">
      <c r="A6" s="10"/>
      <c r="B6" s="9" t="s">
        <v>156</v>
      </c>
      <c r="C6" s="11">
        <v>1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3">
        <f t="shared" si="0"/>
        <v>0</v>
      </c>
    </row>
    <row r="7" spans="1:9" ht="15.75" customHeight="1">
      <c r="A7" s="10"/>
      <c r="B7" s="9" t="s">
        <v>157</v>
      </c>
      <c r="C7" s="11">
        <v>2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3">
        <f t="shared" si="0"/>
        <v>0</v>
      </c>
    </row>
    <row r="8" spans="1:9" ht="15.75" customHeight="1">
      <c r="A8" s="10"/>
      <c r="B8" s="9" t="s">
        <v>158</v>
      </c>
      <c r="C8" s="11">
        <v>2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3">
        <f t="shared" si="0"/>
        <v>0</v>
      </c>
    </row>
    <row r="9" spans="1:9" ht="15.75" customHeight="1">
      <c r="B9" s="10"/>
    </row>
    <row r="10" spans="1:9" ht="15.75" customHeight="1">
      <c r="B10" s="4" t="s">
        <v>159</v>
      </c>
      <c r="C10" s="3">
        <f>SUM(C4:C8)</f>
        <v>10</v>
      </c>
      <c r="D10" s="3">
        <f>C10-SUM(D4:D8)</f>
        <v>10</v>
      </c>
      <c r="E10" s="3">
        <f>D10-SUM(E4:E8)</f>
        <v>10</v>
      </c>
      <c r="F10" s="3">
        <f>E10-SUM(F4:F8)</f>
        <v>10</v>
      </c>
      <c r="G10" s="3">
        <f>F10-SUM(G4:G8)</f>
        <v>10</v>
      </c>
      <c r="H10" s="3">
        <f>G10-SUM(H4:H8)</f>
        <v>10</v>
      </c>
    </row>
    <row r="11" spans="1:9" ht="15.75" customHeight="1">
      <c r="B11" s="4" t="s">
        <v>160</v>
      </c>
      <c r="C11" s="3">
        <f>SUM(C4:C8)</f>
        <v>10</v>
      </c>
      <c r="D11" s="3">
        <f>C11-(SUM(C4:C8)/5)</f>
        <v>8</v>
      </c>
      <c r="E11" s="3">
        <f>D11-(SUM(C4:C8)/5)</f>
        <v>6</v>
      </c>
      <c r="F11" s="3">
        <f>E11-(SUM(C4:C8)/5)</f>
        <v>4</v>
      </c>
      <c r="G11" s="3">
        <f>F11-(SUM(C4:C8)/5)</f>
        <v>2</v>
      </c>
      <c r="H11" s="3">
        <f>G11-(SUM(C4:C8)/5)</f>
        <v>0</v>
      </c>
    </row>
    <row r="12" spans="1:9" ht="15.75" customHeight="1"/>
    <row r="13" spans="1:9" ht="15.75" customHeight="1"/>
    <row r="14" spans="1:9" ht="15.75" customHeight="1"/>
    <row r="15" spans="1:9" ht="15.75" customHeight="1">
      <c r="B15" s="14"/>
      <c r="C15" s="15"/>
      <c r="D15" s="15"/>
      <c r="E15" s="15"/>
      <c r="F15" s="15"/>
      <c r="G15" s="15"/>
    </row>
    <row r="16" spans="1:9" ht="15.75" customHeight="1">
      <c r="B16" s="15"/>
      <c r="C16" s="15"/>
      <c r="D16" s="15"/>
      <c r="E16" s="15"/>
      <c r="F16" s="15"/>
      <c r="G16" s="15"/>
    </row>
    <row r="17" spans="2:7" ht="15.75" customHeight="1">
      <c r="B17" s="15"/>
      <c r="C17" s="15"/>
      <c r="D17" s="15"/>
      <c r="E17" s="15"/>
      <c r="F17" s="15"/>
      <c r="G17" s="15"/>
    </row>
    <row r="18" spans="2:7" ht="15.75" customHeight="1">
      <c r="B18" s="15"/>
      <c r="C18" s="15"/>
      <c r="D18" s="15"/>
      <c r="E18" s="15"/>
      <c r="F18" s="15"/>
      <c r="G18" s="15"/>
    </row>
    <row r="19" spans="2:7" ht="15.75" customHeight="1">
      <c r="B19" s="15"/>
      <c r="C19" s="15"/>
      <c r="D19" s="15"/>
      <c r="E19" s="15"/>
      <c r="F19" s="15"/>
      <c r="G19" s="15"/>
    </row>
    <row r="20" spans="2:7" ht="15.75" customHeight="1">
      <c r="B20" s="15"/>
      <c r="C20" s="15"/>
      <c r="D20" s="15"/>
      <c r="E20" s="15"/>
      <c r="F20" s="15"/>
      <c r="G20" s="15"/>
    </row>
    <row r="21" spans="2:7" ht="15.75" customHeight="1">
      <c r="B21" s="15"/>
      <c r="C21" s="15"/>
      <c r="D21" s="15"/>
      <c r="E21" s="15"/>
      <c r="F21" s="15"/>
      <c r="G21" s="15"/>
    </row>
    <row r="22" spans="2:7" ht="15.75" customHeight="1">
      <c r="B22" s="15"/>
      <c r="C22" s="15"/>
      <c r="D22" s="15"/>
      <c r="E22" s="15"/>
      <c r="F22" s="15"/>
      <c r="G22" s="15"/>
    </row>
    <row r="23" spans="2:7" ht="15.75" customHeight="1"/>
    <row r="24" spans="2:7" ht="15.75" customHeight="1"/>
    <row r="25" spans="2:7" ht="15.75" customHeight="1"/>
    <row r="26" spans="2:7" ht="15.75" customHeight="1"/>
    <row r="27" spans="2:7" ht="15.75" customHeight="1"/>
    <row r="28" spans="2:7" ht="15.75" customHeight="1"/>
    <row r="29" spans="2:7" ht="15.75" customHeight="1"/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/>
  <cp:revision/>
  <dcterms:created xsi:type="dcterms:W3CDTF">2023-06-05T13:12:31Z</dcterms:created>
  <dcterms:modified xsi:type="dcterms:W3CDTF">2025-12-11T04:49:20Z</dcterms:modified>
  <cp:category/>
  <cp:contentStatus/>
</cp:coreProperties>
</file>