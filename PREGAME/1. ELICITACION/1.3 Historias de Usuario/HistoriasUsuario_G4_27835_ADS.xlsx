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0F49440B-8A37-4B81-A741-3F3B69E0379E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Formato descripción HU" sheetId="1" r:id="rId1"/>
    <sheet name="RF1 - Historia de Usuario" sheetId="3" r:id="rId2"/>
    <sheet name="RF2 - Historia de Usuario" sheetId="5" r:id="rId3"/>
    <sheet name="RF3.1 - Historia de Usuario" sheetId="4" r:id="rId4"/>
    <sheet name="RF3.2.1 - Historia de Usuario" sheetId="6" r:id="rId5"/>
    <sheet name="Historia de Usuario" sheetId="2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2" i="6" l="1"/>
  <c r="E22" i="6"/>
  <c r="E19" i="6"/>
  <c r="M15" i="6"/>
  <c r="H15" i="6"/>
  <c r="D15" i="6"/>
  <c r="C13" i="6"/>
  <c r="E13" i="6"/>
  <c r="H13" i="6"/>
  <c r="E10" i="6"/>
  <c r="H10" i="6"/>
  <c r="L22" i="5"/>
  <c r="E22" i="5"/>
  <c r="E19" i="5"/>
  <c r="M15" i="5"/>
  <c r="H15" i="5"/>
  <c r="D15" i="5"/>
  <c r="C13" i="5"/>
  <c r="E13" i="5"/>
  <c r="H13" i="5"/>
  <c r="E10" i="5"/>
  <c r="H10" i="5"/>
  <c r="L22" i="4"/>
  <c r="E22" i="4"/>
  <c r="E19" i="4"/>
  <c r="M15" i="4"/>
  <c r="H15" i="4"/>
  <c r="D15" i="4"/>
  <c r="C13" i="4"/>
  <c r="E13" i="4"/>
  <c r="H13" i="4"/>
  <c r="E10" i="4"/>
  <c r="H10" i="4"/>
  <c r="L22" i="3"/>
  <c r="E22" i="3"/>
  <c r="E19" i="3"/>
  <c r="M15" i="3"/>
  <c r="H15" i="3"/>
  <c r="D15" i="3"/>
  <c r="C13" i="3"/>
  <c r="E13" i="3"/>
  <c r="H13" i="3"/>
  <c r="E10" i="3"/>
  <c r="H10" i="3"/>
  <c r="L22" i="2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<sst xmlns="http://schemas.openxmlformats.org/spreadsheetml/2006/main" count="274" uniqueCount="166">
  <si>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</si>
  <si>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</si>
  <si>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</si>
  <si>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</si>
  <si>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</si>
  <si>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</si>
  <si>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</si>
  <si>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</si>
  <si>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</si>
  <si>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</si>
  <si>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</si>
  <si>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</si>
  <si>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</si>
  <si>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</si>
  <si>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</si>
  <si>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RF1</t>
  </si>
  <si>
    <t>El usuario nuevo necesita una cuenta.</t>
  </si>
  <si>
    <t xml:space="preserve">Registrarme en la aplicación con mis datos obligatorios (nombre, correo, contraseña, fecha de nacimiento, rol).
</t>
  </si>
  <si>
    <t>Para que el sistema guarde mis datos y me permita iniciar sesión.</t>
  </si>
  <si>
    <t>Usuario</t>
  </si>
  <si>
    <t xml:space="preserve">El usuario ingresa sus datos en el formulario de registro. El sistema valida el formato de los campos y los guarda.
</t>
  </si>
  <si>
    <t xml:space="preserve">8 horas </t>
  </si>
  <si>
    <t xml:space="preserve">sáb 17/5/25 </t>
  </si>
  <si>
    <t>Alta</t>
  </si>
  <si>
    <t>No iniciado</t>
  </si>
  <si>
    <t>Si no se puede identificar el rol, se muestra un error y se sugiere reiniciar sesión.</t>
  </si>
  <si>
    <t xml:space="preserve">Registrar Usuario </t>
  </si>
  <si>
    <t>RF2</t>
  </si>
  <si>
    <t xml:space="preserve">El usuario registrado necesita acceder.
</t>
  </si>
  <si>
    <t>Iniciar sesión en la aplicación con mi correo electrónico y contraseña.</t>
  </si>
  <si>
    <t>Para que el sistema valide mis credenciales y me autorice el acceso a la app.</t>
  </si>
  <si>
    <t xml:space="preserve">Usuario </t>
  </si>
  <si>
    <t>El usuario ingresa su correo y contraseña. El sistema los valida contra la base de datos y da acceso.</t>
  </si>
  <si>
    <t xml:space="preserve">3 horas </t>
  </si>
  <si>
    <t>Si el código es inválido o expirado, el sistema muestra un mensaje de error claro. Si es exitoso, muestra confirmación.</t>
  </si>
  <si>
    <t xml:space="preserve">Iniciar sesión </t>
  </si>
  <si>
    <t>RF3.1</t>
  </si>
  <si>
    <t>El padre necesita ver el contenido del nivel principiante para la categoría de edad seleccionada.</t>
  </si>
  <si>
    <t>(Derivado) Para que el actor pueda seleccionar, visualizar y filtrar contenido de expresiones básicas y señas sobre animales.</t>
  </si>
  <si>
    <t>Padre</t>
  </si>
  <si>
    <t>El sistema presenta... lista de contenidos... El actor selecciona un contenido... El actor puede aplicar un filtro... El sistema muestra el contenido filtrado.</t>
  </si>
  <si>
    <t>6 horas</t>
  </si>
  <si>
    <t>mié 28/5/25</t>
  </si>
  <si>
    <t>Si el filtro no encuentra nada, se muestra "no hay coincidencias". Si no se carga el contenido, muestra error.</t>
  </si>
  <si>
    <t>Mostrar nivel principiante</t>
  </si>
  <si>
    <t>RF3.2.1</t>
  </si>
  <si>
    <t>El padre necesita practicar en nivel intermedio.</t>
  </si>
  <si>
    <t>Realizar una práctica para seleccionar la seña correcta.</t>
  </si>
  <si>
    <t>Para que el sistema valide mi selección, me dé retroalimentación (Correcto/Incorrecto) y registre el resultado.</t>
  </si>
  <si>
    <t>El sistema muestra una seña y varias opciones. El padre elige una. El sistema da feedback y avanza.</t>
  </si>
  <si>
    <t>Si no se carga la práctica, muestra error. El sistema debe dar feedback "Correcto" o "Incorrecto".</t>
  </si>
  <si>
    <t>Seleccionar seña correcta</t>
  </si>
  <si>
    <t>RF3.2.2</t>
  </si>
  <si>
    <t>El padre necesita practicar asociación.</t>
  </si>
  <si>
    <t>Realizar una práctica de asociación visual (arrastrar y soltar).</t>
  </si>
  <si>
    <t>Para asociar correctamente cada seña (video/imagen) con su etiqueta de significado.</t>
  </si>
  <si>
    <t>El sistema muestra señas y etiquetas desordenadas. El padre las arrastra para unirlas. El sistema valida y da feedback.</t>
  </si>
  <si>
    <t>vie 30/5/25</t>
  </si>
  <si>
    <t>Si no se carga la práctica, muestra error. El progreso se puede guardar al salir.</t>
  </si>
  <si>
    <t>Practicar por asociación visual</t>
  </si>
  <si>
    <t>RF3.3.1</t>
  </si>
  <si>
    <t>El padre necesita practicar imitación (Avanzado).</t>
  </si>
  <si>
    <t>Practicar señas con un ejemplo visual contextual.</t>
  </si>
  <si>
    <t>Para observar el ejemplo, imitar la seña frente a la cámara y seleccionar el significado correcto.</t>
  </si>
  <si>
    <t>El sistema pide permiso de cámara. Muestra la seña y su contexto. El padre imita y responde. El sistema valida la imitación y la respuesta.</t>
  </si>
  <si>
    <t>5 horas</t>
  </si>
  <si>
    <t>sáb 31/5/25</t>
  </si>
  <si>
    <t>Si no se da permiso a la cámara, el caso de uso no se ejecuta. Si la imitación falla, pide volver a intentarlo.</t>
  </si>
  <si>
    <t>Practicar señas con ejemplo visual</t>
  </si>
  <si>
    <t>RF3.3.2</t>
  </si>
  <si>
    <t xml:space="preserve">El padre necesita practicar con audio (Avanzado).	</t>
  </si>
  <si>
    <t>Practicar señas con audio e imitación.</t>
  </si>
  <si>
    <t>Para escuchar una descripción, ver la seña, e imitarla frente a la cámara para que el sistema la valide.</t>
  </si>
  <si>
    <t>El sistema pide permiso de cámara. Reproduce el video de la seña y el audio. El padre imita. El sistema captura y valida la imitación.</t>
  </si>
  <si>
    <t>Si no se da permiso a la cámara, no se ejecuta. Si la validación de la seña falla, pide volver a realizarla</t>
  </si>
  <si>
    <t>Practicar con audio imitación</t>
  </si>
  <si>
    <t>RF6</t>
  </si>
  <si>
    <t>El docente necesita crear grupos.</t>
  </si>
  <si>
    <t>Generar un código de clase.</t>
  </si>
  <si>
    <t>Para que los padres puedan unirse a la clase que he creado.</t>
  </si>
  <si>
    <t>Docente</t>
  </si>
  <si>
    <t>El docente (con rol verificado) ingresa un nombre para una nueva clase. El sistema valida que no exista y genera un código único.</t>
  </si>
  <si>
    <t xml:space="preserve">4 horas </t>
  </si>
  <si>
    <t>Si el nombre de la clase ya está en uso por él, el sistema muestra un error. Si falla la generación, notifica el error.</t>
  </si>
  <si>
    <t>Generar código de clase</t>
  </si>
  <si>
    <t>RF7</t>
  </si>
  <si>
    <t>El docente necesita añadir contenido</t>
  </si>
  <si>
    <t>Importar contenido multimedia (video, imagen, frase) para una nueva seña.</t>
  </si>
  <si>
    <t>Para que el material quede disponible en la base de datos para los módulos de aprendizaje.</t>
  </si>
  <si>
    <t xml:space="preserve">Docente </t>
  </si>
  <si>
    <t>El docente llena un formulario con video, imagen, título, categoría, nivel y palabras clave. El sistema valida y guarda.</t>
  </si>
  <si>
    <t xml:space="preserve">mar 10/6/25 </t>
  </si>
  <si>
    <t>Si un archivo tiene formato incorrecto o faltan campos obligatorios, el sistema bloquea el envío y notifica.</t>
  </si>
  <si>
    <t xml:space="preserve">Importar contenido </t>
  </si>
  <si>
    <t>RF8</t>
  </si>
  <si>
    <t>El docente necesita ver el progreso.</t>
  </si>
  <si>
    <t>Visualizar el progreso de un padre (estudiante).</t>
  </si>
  <si>
    <t>Para ver un informe visual con el avance, errores, intentos y aciertos del estudiante.</t>
  </si>
  <si>
    <t>El docente selecciona una clase y luego un estudiante. El sistema consulta la BD y genera un informe visual del progreso.</t>
  </si>
  <si>
    <t>4 horas</t>
  </si>
  <si>
    <t>mar 10/6/25</t>
  </si>
  <si>
    <t>Si no hay progreso registrado para ese estudiante, el sistema muestra un mensaje indicándolo.</t>
  </si>
  <si>
    <t>Visualizar progreso</t>
  </si>
  <si>
    <t>RF9</t>
  </si>
  <si>
    <t>El docente necesita ver el historial.</t>
  </si>
  <si>
    <t>Ver el historial de palabras aprendidas de un padre.</t>
  </si>
  <si>
    <t>Para revisar las palabras específicas que el padre ha completado por lección y módulo.</t>
  </si>
  <si>
    <t>Similar a RF8, el docente selecciona al padre y el sistema consulta y muestra el historial de vocabulario aprendido.</t>
  </si>
  <si>
    <t xml:space="preserve">jue 12/6/25 </t>
  </si>
  <si>
    <t>Si no hay información registrada, el sistema muestra un mensaje indicando que no hay resultados.</t>
  </si>
  <si>
    <t xml:space="preserve">Ver historial de palabras aprendidas </t>
  </si>
  <si>
    <t>RF10</t>
  </si>
  <si>
    <t>El padre necesita usar la app sin internet.</t>
  </si>
  <si>
    <t>Descargar el contenido de un módulo gratuito y activo.</t>
  </si>
  <si>
    <t>Para poder usar el contenido y las lecciones en modo sin conexión.</t>
  </si>
  <si>
    <t>El padre selecciona un módulo gratuito activo y confirma la descarga. El sistema pide permiso de almacenamiento y descarga el contenido.</t>
  </si>
  <si>
    <t xml:space="preserve">6 horas </t>
  </si>
  <si>
    <t xml:space="preserve">mar 27/5/25 </t>
  </si>
  <si>
    <t>Si el usuario niega el permiso de almacenamiento, se le informa que no podrá usar la app offline.</t>
  </si>
  <si>
    <t xml:space="preserve">Descargar contenido del sistema </t>
  </si>
  <si>
    <t>RF11</t>
  </si>
  <si>
    <t>El padre necesita acceder a funciones premium.</t>
  </si>
  <si>
    <t>Acceder a contenido exclusivo (Traductor, Aprendizaje Dinámico).</t>
  </si>
  <si>
    <t>Para que el sistema verifique si tengo una membresía activa y me dé acceso.</t>
  </si>
  <si>
    <t>El sistema verifica el estado de la membresía del padre. Si es válida, desbloquea las funciones. Si no, lo redirige a la pantalla de compra.</t>
  </si>
  <si>
    <t xml:space="preserve">5 horas </t>
  </si>
  <si>
    <t>Si la membresía no es válida, el usuario es redirigido a la sección informativa para comprarla.</t>
  </si>
  <si>
    <t xml:space="preserve">Acceder a contenido exclusivo </t>
  </si>
  <si>
    <t>RF11.1</t>
  </si>
  <si>
    <t>El padre necesita pagar la membresía.</t>
  </si>
  <si>
    <t>Comprar una membresía.</t>
  </si>
  <si>
    <t>Para que el sistema procese mi pago con tarjeta (vía API externa) y actualice mi estado a miembro activo.</t>
  </si>
  <si>
    <t>El padre va a la sección "Comprar", selecciona la opción y es redirigido a una API de pago (Stripe/PayPal) para ingresar sus datos.</t>
  </si>
  <si>
    <t>jue 12/6/25</t>
  </si>
  <si>
    <t>Si la tarjeta es rechazada, se informa el motivo. Si el pago se aprueba pero el registro falla, se notifica y se reembolsa.</t>
  </si>
  <si>
    <t>Comprar membresía</t>
  </si>
  <si>
    <t>RF11.2.1</t>
  </si>
  <si>
    <t>El padre (premium) necesita practicar con juegos.</t>
  </si>
  <si>
    <t>Enseñar con juegos de memoria reconociendo señas.</t>
  </si>
  <si>
    <t>Para que el sistema cargue un juego con mi vocabulario aprendido y yo pueda seleccionar la respuesta correcta.</t>
  </si>
  <si>
    <t>El sistema recupera el historial de vocabulario del padre y genera un juego de memoria (mostrar seña, elegir palabra). Registra aciertos/errores.</t>
  </si>
  <si>
    <t>mar 3/6/25</t>
  </si>
  <si>
    <t>Si el padre sale del juego a la mitad, el progreso de esa partida no se guarda y se le notifica al volver a entrar.</t>
  </si>
  <si>
    <t>Enseñar con juegos de memoria</t>
  </si>
  <si>
    <t>RF11.2.2</t>
  </si>
  <si>
    <t>El padre (premium) necesita practicar imitación.</t>
  </si>
  <si>
    <t>Enseñar con juegos de imitación de señas.</t>
  </si>
  <si>
    <t>Para que el sistema me muestre una palabra, active la cámara, y yo realice la seña para que la valide.</t>
  </si>
  <si>
    <t>El sistema recupera vocabulario, presenta una palabra, activa la cámara y usa reconocimiento de gestos para validar la imitación del padre.</t>
  </si>
  <si>
    <t>mié 4/6/25</t>
  </si>
  <si>
    <t>Si el permiso de cámara no está otorgado o la cámara falla, se muestra un mensaje y la función no se ejecuta.</t>
  </si>
  <si>
    <t>Enseñar con juegos de imitación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</si>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</sst>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>
    <font>
      <sz val="11"/>
      <color theme="1"/>
      <name val="Arial"/>
      <charset val="1"/>
    </font>
    <font>
      <sz val="11"/>
      <color theme="1"/>
      <name val="Arial Narrow"/>
      <charset val="1"/>
    </font>
    <font>
      <b/>
      <i/>
      <sz val="16"/>
      <color theme="1"/>
      <name val="Arial Narrow"/>
      <charset val="1"/>
    </font>
    <font>
      <b/>
      <i/>
      <sz val="11"/>
      <color rgb="FF9C6500"/>
      <name val="Arial Narrow"/>
      <charset val="1"/>
    </font>
    <font>
      <sz val="11"/>
      <color rgb="FF000000"/>
      <name val="Arial Narrow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1"/>
      <color theme="0"/>
      <name val="Calibri"/>
      <charset val="1"/>
    </font>
    <font>
      <b/>
      <sz val="11"/>
      <color rgb="FFFA7D00"/>
      <name val="Calibri"/>
      <charset val="1"/>
    </font>
    <font>
      <sz val="12"/>
      <color theme="1"/>
      <name val="Calibri"/>
      <charset val="1"/>
    </font>
    <font>
      <b/>
      <i/>
      <sz val="12"/>
      <color rgb="FF9C6500"/>
      <name val="Calibri"/>
      <charset val="1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Times New Roman"/>
    </font>
    <font>
      <sz val="10"/>
      <color rgb="FF000000"/>
      <name val="Times New Roman"/>
    </font>
    <font>
      <sz val="11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6"/>
        <bgColor rgb="FFB2B2B2"/>
      </patternFill>
    </fill>
    <fill>
      <patternFill patternType="solid">
        <fgColor theme="4"/>
        <bgColor rgb="FF808080"/>
      </patternFill>
    </fill>
    <fill>
      <patternFill patternType="solid">
        <fgColor rgb="FFFFEB9C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49" fontId="6" fillId="4" borderId="1" xfId="0" applyNumberFormat="1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0" fillId="5" borderId="2" xfId="0" applyFill="1" applyBorder="1"/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8" fillId="6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0" fillId="5" borderId="0" xfId="0" applyFill="1"/>
    <xf numFmtId="0" fontId="0" fillId="5" borderId="6" xfId="0" applyFill="1" applyBorder="1"/>
    <xf numFmtId="0" fontId="10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14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3" xfId="0" applyFont="1" applyFill="1" applyBorder="1"/>
    <xf numFmtId="0" fontId="15" fillId="6" borderId="1" xfId="0" applyFont="1" applyFill="1" applyBorder="1" applyAlignment="1">
      <alignment horizontal="center" vertical="center"/>
    </xf>
    <xf numFmtId="0" fontId="16" fillId="5" borderId="0" xfId="0" applyFont="1" applyFill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/>
    <xf numFmtId="0" fontId="19" fillId="3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wrapText="1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2B2B2"/>
      <rgbColor rgb="FF808080"/>
      <rgbColor rgb="FF5B9BD5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A7D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59F1C18B-22E7-4DE3-AFA6-D980329CEB7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CE18F701-B3BA-4F82-A114-5640829EDC7E}"/>
            </a:ext>
            <a:ext uri="{147F2762-F138-4A5C-976F-8EAC2B608ADB}">
              <a16:predDERef xmlns:a16="http://schemas.microsoft.com/office/drawing/2014/main" pred="{59F1C18B-22E7-4DE3-AFA6-D980329CEB7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E8A5024A-E058-4624-BB2F-629DDC5A066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6F7FCD81-29B3-4198-A22E-9EED7E00F3D9}"/>
            </a:ext>
            <a:ext uri="{147F2762-F138-4A5C-976F-8EAC2B608ADB}">
              <a16:predDERef xmlns:a16="http://schemas.microsoft.com/office/drawing/2014/main" pred="{E8A5024A-E058-4624-BB2F-629DDC5A066D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314E06DF-A459-45AE-AC78-51923256108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25F28AB7-B84F-48A5-92BD-1FC594E97BD6}"/>
            </a:ext>
            <a:ext uri="{147F2762-F138-4A5C-976F-8EAC2B608ADB}">
              <a16:predDERef xmlns:a16="http://schemas.microsoft.com/office/drawing/2014/main" pred="{314E06DF-A459-45AE-AC78-51923256108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964BCB62-817E-4A23-82E5-4B2EC78AD20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372875" y="1209735"/>
          <a:ext cx="1049745" cy="116170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9449AD69-8845-4989-B789-D9517B2CD02C}"/>
            </a:ext>
            <a:ext uri="{147F2762-F138-4A5C-976F-8EAC2B608ADB}">
              <a16:predDERef xmlns:a16="http://schemas.microsoft.com/office/drawing/2014/main" pred="{964BCB62-817E-4A23-82E5-4B2EC78AD20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420265" y="1209735"/>
          <a:ext cx="1078545" cy="1161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552600</xdr:colOff>
      <xdr:row>8</xdr:row>
      <xdr:rowOff>266760</xdr:rowOff>
    </xdr:from>
    <xdr:to>
      <xdr:col>14</xdr:col>
      <xdr:colOff>792720</xdr:colOff>
      <xdr:row>12</xdr:row>
      <xdr:rowOff>161640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76080" y="1209600"/>
          <a:ext cx="1066320" cy="116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219240</xdr:colOff>
      <xdr:row>8</xdr:row>
      <xdr:rowOff>266760</xdr:rowOff>
    </xdr:from>
    <xdr:to>
      <xdr:col>12</xdr:col>
      <xdr:colOff>488160</xdr:colOff>
      <xdr:row>12</xdr:row>
      <xdr:rowOff>161640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590320" y="1209600"/>
          <a:ext cx="109512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zoomScaleNormal="100" workbookViewId="0">
      <selection activeCell="I21" sqref="I21"/>
    </sheetView>
  </sheetViews>
  <sheetFormatPr defaultColWidth="12.625" defaultRowHeight="15" customHeight="1"/>
  <cols>
    <col min="1" max="1" width="4.625" style="11" customWidth="1"/>
    <col min="2" max="2" width="6.62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style="11" customWidth="1"/>
  </cols>
  <sheetData>
    <row r="1" spans="1:15">
      <c r="A1" s="11">
        <v>4</v>
      </c>
      <c r="B1" s="11"/>
      <c r="C1" s="11"/>
      <c r="D1" s="11"/>
      <c r="E1" s="11"/>
      <c r="F1" s="11"/>
      <c r="G1" s="11"/>
      <c r="H1" s="11"/>
      <c r="I1" s="12"/>
      <c r="J1" s="12"/>
      <c r="K1" s="13"/>
      <c r="L1" s="12"/>
      <c r="M1" s="11"/>
      <c r="N1" s="11"/>
      <c r="O1" s="11"/>
    </row>
    <row r="2" spans="1:15">
      <c r="B2" s="11"/>
      <c r="C2" s="11"/>
      <c r="D2" s="11"/>
      <c r="E2" s="11"/>
      <c r="F2" s="11"/>
      <c r="G2" s="11"/>
      <c r="H2" s="11"/>
      <c r="I2" s="12"/>
      <c r="J2" s="12"/>
      <c r="K2" s="13"/>
      <c r="L2" s="12"/>
      <c r="M2" s="11"/>
      <c r="N2" s="11"/>
      <c r="O2" s="11"/>
    </row>
    <row r="3" spans="1:15" ht="45" customHeight="1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>
      <c r="B4" s="11"/>
      <c r="C4" s="11"/>
      <c r="D4" s="11"/>
      <c r="E4" s="11"/>
      <c r="F4" s="11"/>
      <c r="G4" s="11"/>
      <c r="H4" s="11"/>
      <c r="I4" s="12"/>
      <c r="J4" s="12"/>
      <c r="K4" s="13"/>
      <c r="L4" s="12"/>
      <c r="M4" s="11"/>
      <c r="N4" s="11"/>
      <c r="O4" s="11"/>
    </row>
    <row r="5" spans="1:15" ht="60" customHeight="1">
      <c r="B5" s="1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4" t="s">
        <v>7</v>
      </c>
      <c r="I5" s="14" t="s">
        <v>8</v>
      </c>
      <c r="J5" s="14" t="s">
        <v>9</v>
      </c>
      <c r="K5" s="14" t="s">
        <v>10</v>
      </c>
      <c r="L5" s="14" t="s">
        <v>11</v>
      </c>
      <c r="M5" s="14" t="s">
        <v>12</v>
      </c>
      <c r="N5" s="14" t="s">
        <v>13</v>
      </c>
      <c r="O5" s="14" t="s">
        <v>14</v>
      </c>
    </row>
    <row r="6" spans="1:15" ht="61.5">
      <c r="B6" s="59" t="s">
        <v>15</v>
      </c>
      <c r="C6" s="60" t="s">
        <v>16</v>
      </c>
      <c r="D6" s="60" t="s">
        <v>17</v>
      </c>
      <c r="E6" s="60" t="s">
        <v>18</v>
      </c>
      <c r="F6" s="60" t="s">
        <v>19</v>
      </c>
      <c r="G6" s="60" t="s">
        <v>20</v>
      </c>
      <c r="H6" s="60"/>
      <c r="I6" s="60" t="s">
        <v>21</v>
      </c>
      <c r="J6" s="61" t="s">
        <v>22</v>
      </c>
      <c r="K6" s="62" t="s">
        <v>23</v>
      </c>
      <c r="L6" s="60" t="s">
        <v>24</v>
      </c>
      <c r="M6" s="63" t="s">
        <v>25</v>
      </c>
      <c r="N6" s="60"/>
      <c r="O6" s="60" t="s">
        <v>26</v>
      </c>
    </row>
    <row r="7" spans="1:15" ht="75.75" customHeight="1">
      <c r="B7" s="59" t="s">
        <v>27</v>
      </c>
      <c r="C7" s="60" t="s">
        <v>28</v>
      </c>
      <c r="D7" s="60" t="s">
        <v>29</v>
      </c>
      <c r="E7" s="60" t="s">
        <v>30</v>
      </c>
      <c r="F7" s="60" t="s">
        <v>31</v>
      </c>
      <c r="G7" s="60" t="s">
        <v>32</v>
      </c>
      <c r="H7" s="60"/>
      <c r="I7" s="60" t="s">
        <v>33</v>
      </c>
      <c r="J7" s="61" t="s">
        <v>22</v>
      </c>
      <c r="K7" s="60" t="s">
        <v>23</v>
      </c>
      <c r="L7" s="60" t="s">
        <v>24</v>
      </c>
      <c r="M7" s="63" t="s">
        <v>34</v>
      </c>
      <c r="N7" s="60"/>
      <c r="O7" s="60" t="s">
        <v>35</v>
      </c>
    </row>
    <row r="8" spans="1:15" ht="75.75" customHeight="1">
      <c r="B8" s="59" t="s">
        <v>36</v>
      </c>
      <c r="C8" s="60" t="s">
        <v>37</v>
      </c>
      <c r="D8" s="60" t="s">
        <v>37</v>
      </c>
      <c r="E8" s="60" t="s">
        <v>38</v>
      </c>
      <c r="F8" s="60" t="s">
        <v>39</v>
      </c>
      <c r="G8" s="64" t="s">
        <v>40</v>
      </c>
      <c r="H8" s="60"/>
      <c r="I8" s="60" t="s">
        <v>41</v>
      </c>
      <c r="J8" s="61" t="s">
        <v>42</v>
      </c>
      <c r="K8" s="60"/>
      <c r="L8" s="60" t="s">
        <v>24</v>
      </c>
      <c r="M8" s="60" t="s">
        <v>43</v>
      </c>
      <c r="N8" s="60"/>
      <c r="O8" s="60" t="s">
        <v>44</v>
      </c>
    </row>
    <row r="9" spans="1:15" ht="75.75" customHeight="1">
      <c r="B9" s="59" t="s">
        <v>45</v>
      </c>
      <c r="C9" s="60" t="s">
        <v>46</v>
      </c>
      <c r="D9" s="64" t="s">
        <v>47</v>
      </c>
      <c r="E9" s="60" t="s">
        <v>48</v>
      </c>
      <c r="F9" s="60" t="s">
        <v>39</v>
      </c>
      <c r="G9" s="64" t="s">
        <v>49</v>
      </c>
      <c r="H9" s="60"/>
      <c r="I9" s="60" t="s">
        <v>41</v>
      </c>
      <c r="J9" s="61" t="s">
        <v>42</v>
      </c>
      <c r="K9" s="60"/>
      <c r="L9" s="60" t="s">
        <v>24</v>
      </c>
      <c r="M9" s="60" t="s">
        <v>50</v>
      </c>
      <c r="N9" s="60"/>
      <c r="O9" s="60" t="s">
        <v>51</v>
      </c>
    </row>
    <row r="10" spans="1:15" ht="61.5" customHeight="1">
      <c r="B10" s="59" t="s">
        <v>52</v>
      </c>
      <c r="C10" s="60" t="s">
        <v>53</v>
      </c>
      <c r="D10" s="65" t="s">
        <v>54</v>
      </c>
      <c r="E10" s="60" t="s">
        <v>55</v>
      </c>
      <c r="F10" s="60" t="s">
        <v>39</v>
      </c>
      <c r="G10" s="64" t="s">
        <v>56</v>
      </c>
      <c r="H10" s="60"/>
      <c r="I10" s="60" t="s">
        <v>41</v>
      </c>
      <c r="J10" s="61" t="s">
        <v>57</v>
      </c>
      <c r="K10" s="60"/>
      <c r="L10" s="60" t="s">
        <v>24</v>
      </c>
      <c r="M10" s="60" t="s">
        <v>58</v>
      </c>
      <c r="N10" s="60"/>
      <c r="O10" s="60" t="s">
        <v>59</v>
      </c>
    </row>
    <row r="11" spans="1:15" ht="70.5" customHeight="1">
      <c r="B11" s="59" t="s">
        <v>60</v>
      </c>
      <c r="C11" s="60" t="s">
        <v>61</v>
      </c>
      <c r="D11" s="64" t="s">
        <v>62</v>
      </c>
      <c r="E11" s="60" t="s">
        <v>63</v>
      </c>
      <c r="F11" s="60" t="s">
        <v>39</v>
      </c>
      <c r="G11" s="64" t="s">
        <v>64</v>
      </c>
      <c r="H11" s="60"/>
      <c r="I11" s="60" t="s">
        <v>65</v>
      </c>
      <c r="J11" s="61" t="s">
        <v>66</v>
      </c>
      <c r="K11" s="60"/>
      <c r="L11" s="60" t="s">
        <v>24</v>
      </c>
      <c r="M11" s="60" t="s">
        <v>67</v>
      </c>
      <c r="N11" s="60"/>
      <c r="O11" s="60" t="s">
        <v>68</v>
      </c>
    </row>
    <row r="12" spans="1:15" ht="61.5" customHeight="1">
      <c r="B12" s="59" t="s">
        <v>69</v>
      </c>
      <c r="C12" s="60" t="s">
        <v>70</v>
      </c>
      <c r="D12" s="64" t="s">
        <v>71</v>
      </c>
      <c r="E12" s="60" t="s">
        <v>72</v>
      </c>
      <c r="F12" s="60" t="s">
        <v>39</v>
      </c>
      <c r="G12" s="64" t="s">
        <v>73</v>
      </c>
      <c r="H12" s="60"/>
      <c r="I12" s="60" t="s">
        <v>41</v>
      </c>
      <c r="J12" s="61" t="s">
        <v>66</v>
      </c>
      <c r="K12" s="60"/>
      <c r="L12" s="60" t="s">
        <v>24</v>
      </c>
      <c r="M12" s="60" t="s">
        <v>74</v>
      </c>
      <c r="N12" s="66"/>
      <c r="O12" s="60" t="s">
        <v>75</v>
      </c>
    </row>
    <row r="13" spans="1:15" ht="58.5" customHeight="1">
      <c r="B13" s="59" t="s">
        <v>76</v>
      </c>
      <c r="C13" s="60" t="s">
        <v>77</v>
      </c>
      <c r="D13" s="60" t="s">
        <v>78</v>
      </c>
      <c r="E13" s="60" t="s">
        <v>79</v>
      </c>
      <c r="F13" s="60" t="s">
        <v>80</v>
      </c>
      <c r="G13" s="64" t="s">
        <v>81</v>
      </c>
      <c r="H13" s="60"/>
      <c r="I13" s="60" t="s">
        <v>82</v>
      </c>
      <c r="J13" s="61" t="s">
        <v>66</v>
      </c>
      <c r="K13" s="60"/>
      <c r="L13" s="60" t="s">
        <v>24</v>
      </c>
      <c r="M13" s="60" t="s">
        <v>83</v>
      </c>
      <c r="N13" s="66"/>
      <c r="O13" s="60" t="s">
        <v>84</v>
      </c>
    </row>
    <row r="14" spans="1:15" ht="39.75" customHeight="1">
      <c r="B14" s="59" t="s">
        <v>85</v>
      </c>
      <c r="C14" s="60" t="s">
        <v>86</v>
      </c>
      <c r="D14" s="60" t="s">
        <v>87</v>
      </c>
      <c r="E14" s="60" t="s">
        <v>88</v>
      </c>
      <c r="F14" s="60" t="s">
        <v>89</v>
      </c>
      <c r="G14" s="64" t="s">
        <v>90</v>
      </c>
      <c r="H14" s="60"/>
      <c r="I14" s="60" t="s">
        <v>82</v>
      </c>
      <c r="J14" s="61" t="s">
        <v>91</v>
      </c>
      <c r="K14" s="60"/>
      <c r="L14" s="60" t="s">
        <v>24</v>
      </c>
      <c r="M14" s="60" t="s">
        <v>92</v>
      </c>
      <c r="N14" s="66"/>
      <c r="O14" s="60" t="s">
        <v>93</v>
      </c>
    </row>
    <row r="15" spans="1:15" ht="72" customHeight="1">
      <c r="B15" s="59" t="s">
        <v>94</v>
      </c>
      <c r="C15" s="60" t="s">
        <v>95</v>
      </c>
      <c r="D15" s="60" t="s">
        <v>96</v>
      </c>
      <c r="E15" s="60" t="s">
        <v>97</v>
      </c>
      <c r="F15" s="60" t="s">
        <v>80</v>
      </c>
      <c r="G15" s="64" t="s">
        <v>98</v>
      </c>
      <c r="H15" s="60"/>
      <c r="I15" s="60" t="s">
        <v>99</v>
      </c>
      <c r="J15" s="61" t="s">
        <v>100</v>
      </c>
      <c r="K15" s="60"/>
      <c r="L15" s="60" t="s">
        <v>24</v>
      </c>
      <c r="M15" s="60" t="s">
        <v>101</v>
      </c>
      <c r="N15" s="66"/>
      <c r="O15" s="60" t="s">
        <v>102</v>
      </c>
    </row>
    <row r="16" spans="1:15" ht="49.5">
      <c r="B16" s="59" t="s">
        <v>103</v>
      </c>
      <c r="C16" s="60" t="s">
        <v>104</v>
      </c>
      <c r="D16" s="60" t="s">
        <v>105</v>
      </c>
      <c r="E16" s="60" t="s">
        <v>106</v>
      </c>
      <c r="F16" s="60" t="s">
        <v>89</v>
      </c>
      <c r="G16" s="64" t="s">
        <v>107</v>
      </c>
      <c r="H16" s="60"/>
      <c r="I16" s="60" t="s">
        <v>82</v>
      </c>
      <c r="J16" s="61" t="s">
        <v>108</v>
      </c>
      <c r="K16" s="60"/>
      <c r="L16" s="60" t="s">
        <v>24</v>
      </c>
      <c r="M16" s="60" t="s">
        <v>109</v>
      </c>
      <c r="N16" s="66"/>
      <c r="O16" s="60" t="s">
        <v>110</v>
      </c>
    </row>
    <row r="17" spans="2:15" ht="39.75" customHeight="1">
      <c r="B17" s="59" t="s">
        <v>111</v>
      </c>
      <c r="C17" s="60" t="s">
        <v>112</v>
      </c>
      <c r="D17" s="60" t="s">
        <v>113</v>
      </c>
      <c r="E17" s="60" t="s">
        <v>114</v>
      </c>
      <c r="F17" s="60" t="s">
        <v>39</v>
      </c>
      <c r="G17" s="64" t="s">
        <v>115</v>
      </c>
      <c r="H17" s="60"/>
      <c r="I17" s="60" t="s">
        <v>116</v>
      </c>
      <c r="J17" s="61" t="s">
        <v>117</v>
      </c>
      <c r="K17" s="60"/>
      <c r="L17" s="60" t="s">
        <v>24</v>
      </c>
      <c r="M17" s="60" t="s">
        <v>118</v>
      </c>
      <c r="N17" s="66"/>
      <c r="O17" s="60" t="s">
        <v>119</v>
      </c>
    </row>
    <row r="18" spans="2:15" ht="39.75" customHeight="1">
      <c r="B18" s="59" t="s">
        <v>120</v>
      </c>
      <c r="C18" s="60" t="s">
        <v>121</v>
      </c>
      <c r="D18" s="60" t="s">
        <v>122</v>
      </c>
      <c r="E18" s="60" t="s">
        <v>123</v>
      </c>
      <c r="F18" s="60" t="s">
        <v>39</v>
      </c>
      <c r="G18" s="64" t="s">
        <v>124</v>
      </c>
      <c r="H18" s="60"/>
      <c r="I18" s="60" t="s">
        <v>125</v>
      </c>
      <c r="J18" s="61" t="s">
        <v>108</v>
      </c>
      <c r="K18" s="60"/>
      <c r="L18" s="60" t="s">
        <v>24</v>
      </c>
      <c r="M18" s="60" t="s">
        <v>126</v>
      </c>
      <c r="N18" s="66"/>
      <c r="O18" s="60" t="s">
        <v>127</v>
      </c>
    </row>
    <row r="19" spans="2:15" ht="49.5">
      <c r="B19" s="67" t="s">
        <v>128</v>
      </c>
      <c r="C19" s="68" t="s">
        <v>129</v>
      </c>
      <c r="D19" s="68" t="s">
        <v>130</v>
      </c>
      <c r="E19" s="68" t="s">
        <v>131</v>
      </c>
      <c r="F19" s="68" t="s">
        <v>39</v>
      </c>
      <c r="G19" s="68" t="s">
        <v>132</v>
      </c>
      <c r="H19" s="60"/>
      <c r="I19" s="60" t="s">
        <v>116</v>
      </c>
      <c r="J19" s="61" t="s">
        <v>133</v>
      </c>
      <c r="K19" s="60"/>
      <c r="L19" s="60" t="s">
        <v>24</v>
      </c>
      <c r="M19" s="69" t="s">
        <v>134</v>
      </c>
      <c r="N19" s="68"/>
      <c r="O19" s="70" t="s">
        <v>135</v>
      </c>
    </row>
    <row r="20" spans="2:15" ht="61.5">
      <c r="B20" s="67" t="s">
        <v>136</v>
      </c>
      <c r="C20" s="68" t="s">
        <v>137</v>
      </c>
      <c r="D20" s="68" t="s">
        <v>138</v>
      </c>
      <c r="E20" s="68" t="s">
        <v>139</v>
      </c>
      <c r="F20" s="68" t="s">
        <v>39</v>
      </c>
      <c r="G20" s="68" t="s">
        <v>140</v>
      </c>
      <c r="H20" s="60"/>
      <c r="I20" s="60" t="s">
        <v>41</v>
      </c>
      <c r="J20" s="61" t="s">
        <v>141</v>
      </c>
      <c r="K20" s="60"/>
      <c r="L20" s="60" t="s">
        <v>24</v>
      </c>
      <c r="M20" s="68" t="s">
        <v>142</v>
      </c>
      <c r="N20" s="68"/>
      <c r="O20" s="70" t="s">
        <v>143</v>
      </c>
    </row>
    <row r="21" spans="2:15" ht="49.5">
      <c r="B21" s="67" t="s">
        <v>144</v>
      </c>
      <c r="C21" s="68" t="s">
        <v>145</v>
      </c>
      <c r="D21" s="68" t="s">
        <v>146</v>
      </c>
      <c r="E21" s="68" t="s">
        <v>147</v>
      </c>
      <c r="F21" s="68" t="s">
        <v>39</v>
      </c>
      <c r="G21" s="68" t="s">
        <v>148</v>
      </c>
      <c r="H21" s="60"/>
      <c r="I21" s="60" t="s">
        <v>41</v>
      </c>
      <c r="J21" s="61" t="s">
        <v>149</v>
      </c>
      <c r="K21" s="60"/>
      <c r="L21" s="60" t="s">
        <v>24</v>
      </c>
      <c r="M21" s="68" t="s">
        <v>150</v>
      </c>
      <c r="N21" s="68"/>
      <c r="O21" s="70" t="s">
        <v>151</v>
      </c>
    </row>
    <row r="22" spans="2:15" ht="16.5">
      <c r="B22" s="67"/>
      <c r="C22" s="68"/>
      <c r="D22" s="68"/>
      <c r="E22" s="68"/>
      <c r="F22" s="68"/>
      <c r="G22" s="68"/>
      <c r="H22" s="60"/>
      <c r="I22" s="60"/>
      <c r="J22" s="61"/>
      <c r="K22" s="60"/>
      <c r="L22" s="60" t="s">
        <v>24</v>
      </c>
      <c r="M22" s="68"/>
      <c r="N22" s="68"/>
      <c r="O22" s="70"/>
    </row>
    <row r="23" spans="2:15" ht="16.5">
      <c r="B23" s="67"/>
      <c r="C23" s="60"/>
      <c r="D23" s="60"/>
      <c r="E23" s="60"/>
      <c r="F23" s="60"/>
      <c r="G23" s="60"/>
      <c r="H23" s="60"/>
      <c r="I23" s="60"/>
      <c r="J23" s="61"/>
      <c r="K23" s="60"/>
      <c r="L23" s="60" t="s">
        <v>24</v>
      </c>
      <c r="M23" s="63"/>
      <c r="N23" s="60"/>
      <c r="O23" s="60"/>
    </row>
    <row r="24" spans="2:15" ht="75.75" customHeight="1">
      <c r="B24" s="67"/>
      <c r="C24" s="60"/>
      <c r="D24" s="60"/>
      <c r="E24" s="60"/>
      <c r="F24" s="60"/>
      <c r="G24" s="60"/>
      <c r="H24" s="60"/>
      <c r="I24" s="60"/>
      <c r="J24" s="61"/>
      <c r="K24" s="60"/>
      <c r="L24" s="60" t="s">
        <v>24</v>
      </c>
      <c r="M24" s="63"/>
      <c r="N24" s="60"/>
      <c r="O24" s="60"/>
    </row>
    <row r="25" spans="2:15" ht="75.75" customHeight="1">
      <c r="B25" s="67"/>
      <c r="C25" s="60"/>
      <c r="D25" s="60"/>
      <c r="E25" s="60"/>
      <c r="F25" s="60"/>
      <c r="G25" s="64"/>
      <c r="H25" s="60"/>
      <c r="I25" s="60"/>
      <c r="J25" s="61"/>
      <c r="K25" s="60"/>
      <c r="L25" s="60" t="s">
        <v>24</v>
      </c>
      <c r="M25" s="63"/>
      <c r="N25" s="60"/>
      <c r="O25" s="60"/>
    </row>
    <row r="26" spans="2:15" ht="75.75" customHeight="1">
      <c r="B26" s="67"/>
      <c r="C26" s="60"/>
      <c r="D26" s="64"/>
      <c r="E26" s="60"/>
      <c r="F26" s="60"/>
      <c r="G26" s="64"/>
      <c r="H26" s="60"/>
      <c r="I26" s="60"/>
      <c r="J26" s="61"/>
      <c r="K26" s="60"/>
      <c r="L26" s="60"/>
      <c r="M26" s="63"/>
      <c r="N26" s="60"/>
      <c r="O26" s="60"/>
    </row>
    <row r="27" spans="2:15" ht="19.5" customHeight="1">
      <c r="B27" s="11"/>
      <c r="C27" s="11"/>
      <c r="D27" s="11"/>
      <c r="E27" s="11"/>
      <c r="F27" s="11"/>
      <c r="G27" s="11"/>
      <c r="H27" s="11"/>
      <c r="I27" s="12"/>
      <c r="J27" s="12"/>
      <c r="K27" s="15"/>
      <c r="L27" s="12"/>
      <c r="M27" s="11"/>
      <c r="N27" s="11"/>
      <c r="O27" s="11"/>
    </row>
    <row r="28" spans="2:15" ht="19.5" customHeight="1">
      <c r="B28" s="11"/>
      <c r="C28" s="11"/>
      <c r="D28" s="11"/>
      <c r="E28" s="11"/>
      <c r="F28" s="11"/>
      <c r="G28" s="11"/>
      <c r="H28" s="11"/>
      <c r="I28" s="12"/>
      <c r="J28" s="12"/>
      <c r="K28" s="15"/>
      <c r="L28" s="12"/>
      <c r="M28" s="11"/>
      <c r="N28" s="11"/>
      <c r="O28" s="11"/>
    </row>
    <row r="29" spans="2:15" ht="19.5" customHeight="1">
      <c r="B29" s="11"/>
      <c r="C29" s="11"/>
      <c r="D29" s="11"/>
      <c r="E29" s="11"/>
      <c r="F29" s="11"/>
      <c r="G29" s="11"/>
      <c r="H29" s="11"/>
      <c r="I29" s="12"/>
      <c r="J29" s="12"/>
      <c r="K29" s="13"/>
      <c r="L29" s="12"/>
      <c r="M29" s="11"/>
      <c r="N29" s="11"/>
      <c r="O29" s="11"/>
    </row>
    <row r="30" spans="2:15" ht="19.5" customHeight="1">
      <c r="B30" s="11"/>
      <c r="C30" s="11"/>
      <c r="D30" s="11"/>
      <c r="E30" s="11"/>
      <c r="F30" s="11"/>
      <c r="G30" s="11"/>
      <c r="H30" s="11"/>
      <c r="I30" s="12"/>
      <c r="J30" s="11"/>
      <c r="K30" s="11"/>
      <c r="L30" s="11"/>
      <c r="M30" s="11"/>
      <c r="N30" s="11"/>
      <c r="O30" s="11"/>
    </row>
    <row r="31" spans="2:15" ht="19.5" customHeight="1">
      <c r="B31" s="11"/>
      <c r="C31" s="11"/>
      <c r="D31" s="11"/>
      <c r="E31" s="11"/>
      <c r="F31" s="11"/>
      <c r="G31" s="11"/>
      <c r="H31" s="11"/>
      <c r="I31" s="12"/>
      <c r="J31" s="11"/>
      <c r="K31" s="11"/>
      <c r="L31" s="11"/>
      <c r="M31" s="11"/>
      <c r="N31" s="11"/>
      <c r="O31" s="11"/>
    </row>
    <row r="32" spans="2:15" ht="19.5" customHeight="1">
      <c r="B32" s="11"/>
      <c r="C32" s="11"/>
      <c r="D32" s="11"/>
      <c r="E32" s="11"/>
      <c r="F32" s="11"/>
      <c r="G32" s="11"/>
      <c r="H32" s="11"/>
      <c r="I32" s="12"/>
      <c r="J32" s="11"/>
      <c r="K32" s="13" t="s">
        <v>23</v>
      </c>
      <c r="L32" s="13" t="s">
        <v>24</v>
      </c>
      <c r="M32" s="11"/>
      <c r="N32" s="11"/>
      <c r="O32" s="11"/>
    </row>
    <row r="33" spans="2:15" ht="19.5" customHeight="1">
      <c r="B33" s="11"/>
      <c r="C33" s="11"/>
      <c r="D33" s="11"/>
      <c r="E33" s="11"/>
      <c r="F33" s="11"/>
      <c r="G33" s="11"/>
      <c r="H33" s="11"/>
      <c r="I33" s="12"/>
      <c r="J33" s="11"/>
      <c r="K33" s="13" t="s">
        <v>152</v>
      </c>
      <c r="L33" s="13" t="s">
        <v>153</v>
      </c>
      <c r="M33" s="11"/>
      <c r="N33" s="11"/>
      <c r="O33" s="11"/>
    </row>
    <row r="34" spans="2:15" ht="19.5" customHeight="1">
      <c r="B34" s="11"/>
      <c r="C34" s="11"/>
      <c r="D34" s="11"/>
      <c r="E34" s="11"/>
      <c r="F34" s="11"/>
      <c r="G34" s="11"/>
      <c r="H34" s="11"/>
      <c r="I34" s="12"/>
      <c r="J34" s="11"/>
      <c r="K34" s="13" t="s">
        <v>154</v>
      </c>
      <c r="L34" s="13" t="s">
        <v>155</v>
      </c>
      <c r="M34" s="11"/>
      <c r="N34" s="11"/>
      <c r="O34" s="11"/>
    </row>
    <row r="35" spans="2:15" ht="19.5" customHeight="1">
      <c r="B35" s="11"/>
      <c r="C35" s="11"/>
      <c r="D35" s="11"/>
      <c r="E35" s="11"/>
      <c r="F35" s="11"/>
      <c r="G35" s="11"/>
      <c r="H35" s="11"/>
      <c r="I35" s="12"/>
      <c r="J35" s="11"/>
      <c r="K35" s="13"/>
      <c r="L35" s="13" t="s">
        <v>156</v>
      </c>
      <c r="M35" s="11"/>
      <c r="N35" s="11"/>
      <c r="O35" s="11"/>
    </row>
    <row r="36" spans="2:15" ht="19.5" customHeight="1">
      <c r="B36" s="11"/>
      <c r="C36" s="11"/>
      <c r="D36" s="11"/>
      <c r="E36" s="11"/>
      <c r="F36" s="11"/>
      <c r="G36" s="11"/>
      <c r="H36" s="11"/>
      <c r="I36" s="12"/>
      <c r="J36" s="11"/>
      <c r="K36" s="11"/>
      <c r="L36" s="11"/>
      <c r="M36" s="11"/>
      <c r="N36" s="11"/>
      <c r="O36" s="11"/>
    </row>
    <row r="37" spans="2:15" ht="19.5" customHeight="1">
      <c r="B37" s="11"/>
      <c r="C37" s="11"/>
      <c r="D37" s="11"/>
      <c r="E37" s="11"/>
      <c r="F37" s="11"/>
      <c r="G37" s="11"/>
      <c r="H37" s="11"/>
      <c r="I37" s="12"/>
      <c r="J37" s="11"/>
      <c r="K37" s="11"/>
      <c r="L37" s="11"/>
      <c r="M37" s="11"/>
      <c r="N37" s="11"/>
      <c r="O37" s="11"/>
    </row>
    <row r="38" spans="2:15" ht="15.75" customHeight="1">
      <c r="B38" s="11"/>
      <c r="C38" s="11"/>
      <c r="D38" s="11"/>
      <c r="E38" s="11"/>
      <c r="F38" s="11"/>
      <c r="G38" s="11"/>
      <c r="H38" s="11"/>
      <c r="I38" s="12"/>
      <c r="J38" s="11"/>
      <c r="K38" s="11"/>
      <c r="L38" s="11"/>
      <c r="M38" s="11"/>
      <c r="N38" s="11"/>
      <c r="O38" s="11"/>
    </row>
    <row r="39" spans="2:15" ht="15.75" customHeight="1">
      <c r="B39" s="11"/>
      <c r="C39" s="11"/>
      <c r="D39" s="11"/>
      <c r="E39" s="11"/>
      <c r="F39" s="11"/>
      <c r="G39" s="11"/>
      <c r="H39" s="11"/>
      <c r="I39" s="12"/>
      <c r="J39" s="11"/>
      <c r="K39" s="11"/>
      <c r="L39" s="11"/>
      <c r="M39" s="11"/>
      <c r="N39" s="11"/>
      <c r="O39" s="11"/>
    </row>
    <row r="40" spans="2:15" ht="15.75" customHeight="1">
      <c r="B40" s="11"/>
      <c r="C40" s="11"/>
      <c r="D40" s="11"/>
      <c r="E40" s="11"/>
      <c r="F40" s="11"/>
      <c r="G40" s="11"/>
      <c r="H40" s="11"/>
      <c r="I40" s="12"/>
      <c r="J40" s="12"/>
      <c r="K40" s="13"/>
      <c r="L40" s="12"/>
      <c r="M40" s="11"/>
      <c r="N40" s="11"/>
      <c r="O40" s="11"/>
    </row>
    <row r="41" spans="2:15" ht="15.75" customHeight="1">
      <c r="B41" s="11"/>
      <c r="C41" s="11"/>
      <c r="D41" s="11"/>
      <c r="E41" s="11"/>
      <c r="F41" s="11"/>
      <c r="G41" s="11"/>
      <c r="H41" s="11"/>
      <c r="I41" s="12"/>
      <c r="J41" s="12"/>
      <c r="K41" s="13"/>
      <c r="L41" s="12"/>
      <c r="M41" s="11"/>
      <c r="N41" s="11"/>
      <c r="O41" s="11"/>
    </row>
    <row r="42" spans="2:15" ht="15.75" customHeight="1">
      <c r="B42" s="11"/>
      <c r="C42" s="11"/>
      <c r="D42" s="11"/>
      <c r="E42" s="11"/>
      <c r="F42" s="11"/>
      <c r="G42" s="11"/>
      <c r="H42" s="11"/>
      <c r="I42" s="12"/>
      <c r="J42" s="12"/>
      <c r="K42" s="13"/>
      <c r="L42" s="12"/>
      <c r="M42" s="11"/>
      <c r="N42" s="11"/>
      <c r="O42" s="11"/>
    </row>
    <row r="43" spans="2:15" ht="15.75" customHeight="1">
      <c r="B43" s="11"/>
      <c r="C43" s="11"/>
      <c r="D43" s="11"/>
      <c r="E43" s="11"/>
      <c r="F43" s="11"/>
      <c r="G43" s="11"/>
      <c r="H43" s="11"/>
      <c r="I43" s="12"/>
      <c r="J43" s="12"/>
      <c r="K43" s="13"/>
      <c r="L43" s="12"/>
      <c r="M43" s="11"/>
      <c r="N43" s="11"/>
      <c r="O43" s="11"/>
    </row>
    <row r="44" spans="2:15" ht="15.75" customHeight="1">
      <c r="B44" s="11"/>
      <c r="C44" s="11"/>
      <c r="D44" s="11"/>
      <c r="E44" s="11"/>
      <c r="F44" s="11"/>
      <c r="G44" s="11"/>
      <c r="H44" s="11"/>
      <c r="I44" s="12"/>
      <c r="J44" s="12"/>
      <c r="K44" s="13"/>
      <c r="L44" s="12"/>
      <c r="M44" s="11"/>
      <c r="N44" s="11"/>
      <c r="O44" s="11"/>
    </row>
    <row r="45" spans="2:15" ht="15.75" customHeight="1">
      <c r="B45" s="11"/>
      <c r="C45" s="11"/>
      <c r="D45" s="11"/>
      <c r="E45" s="11"/>
      <c r="F45" s="11"/>
      <c r="G45" s="11"/>
      <c r="H45" s="11"/>
      <c r="I45" s="12"/>
      <c r="J45" s="12"/>
      <c r="K45" s="13"/>
      <c r="L45" s="12"/>
      <c r="M45" s="11"/>
      <c r="N45" s="11"/>
      <c r="O45" s="11"/>
    </row>
    <row r="46" spans="2:15" ht="15.75" customHeight="1">
      <c r="B46" s="11"/>
      <c r="C46" s="11"/>
      <c r="D46" s="11"/>
      <c r="E46" s="11"/>
      <c r="F46" s="11"/>
      <c r="G46" s="11"/>
      <c r="H46" s="11"/>
      <c r="I46" s="12"/>
      <c r="J46" s="12"/>
      <c r="K46" s="13"/>
      <c r="L46" s="12"/>
      <c r="M46" s="11"/>
      <c r="N46" s="11"/>
      <c r="O46" s="11"/>
    </row>
    <row r="47" spans="2:15" ht="15.75" customHeight="1">
      <c r="B47" s="11"/>
      <c r="C47" s="11"/>
      <c r="D47" s="11"/>
      <c r="E47" s="11"/>
      <c r="F47" s="11"/>
      <c r="G47" s="11"/>
      <c r="H47" s="11"/>
      <c r="I47" s="12"/>
      <c r="J47" s="12"/>
      <c r="K47" s="13"/>
      <c r="L47" s="12"/>
      <c r="M47" s="11"/>
      <c r="N47" s="11"/>
      <c r="O47" s="11"/>
    </row>
    <row r="48" spans="2:15" ht="15.75" customHeight="1">
      <c r="B48" s="11"/>
      <c r="C48" s="11"/>
      <c r="D48" s="11"/>
      <c r="E48" s="11"/>
      <c r="F48" s="11"/>
      <c r="G48" s="11"/>
      <c r="H48" s="11"/>
      <c r="I48" s="12"/>
      <c r="J48" s="12"/>
      <c r="K48" s="13"/>
      <c r="L48" s="12"/>
      <c r="M48" s="11"/>
      <c r="N48" s="11"/>
      <c r="O48" s="11"/>
    </row>
    <row r="49" spans="2:15" ht="15.75" customHeight="1">
      <c r="B49" s="11"/>
      <c r="C49" s="11"/>
      <c r="D49" s="11"/>
      <c r="E49" s="11"/>
      <c r="F49" s="11"/>
      <c r="G49" s="11"/>
      <c r="H49" s="11"/>
      <c r="I49" s="12"/>
      <c r="J49" s="12"/>
      <c r="K49" s="13"/>
      <c r="L49" s="12"/>
      <c r="M49" s="11"/>
      <c r="N49" s="11"/>
      <c r="O49" s="11"/>
    </row>
    <row r="50" spans="2:15" ht="15.75" customHeight="1">
      <c r="B50" s="11"/>
      <c r="C50" s="11"/>
      <c r="D50" s="11"/>
      <c r="E50" s="11"/>
      <c r="F50" s="11"/>
      <c r="G50" s="11"/>
      <c r="H50" s="11"/>
      <c r="I50" s="12"/>
      <c r="J50" s="12"/>
      <c r="K50" s="13"/>
      <c r="L50" s="12"/>
      <c r="M50" s="11"/>
      <c r="N50" s="11"/>
      <c r="O50" s="11"/>
    </row>
    <row r="51" spans="2:15" ht="15.75" customHeight="1">
      <c r="B51" s="11"/>
      <c r="C51" s="11"/>
      <c r="D51" s="11"/>
      <c r="E51" s="11"/>
      <c r="F51" s="11"/>
      <c r="G51" s="11"/>
      <c r="H51" s="11"/>
      <c r="I51" s="12"/>
      <c r="J51" s="12"/>
      <c r="K51" s="13"/>
      <c r="L51" s="12"/>
      <c r="M51" s="11"/>
      <c r="N51" s="11"/>
      <c r="O51" s="11"/>
    </row>
    <row r="52" spans="2:15" ht="15.75" customHeight="1">
      <c r="B52" s="11"/>
      <c r="C52" s="11"/>
      <c r="D52" s="11"/>
      <c r="E52" s="11"/>
      <c r="F52" s="11"/>
      <c r="G52" s="11"/>
      <c r="H52" s="11"/>
      <c r="I52" s="12"/>
      <c r="J52" s="12"/>
      <c r="K52" s="13"/>
      <c r="L52" s="12"/>
      <c r="M52" s="11"/>
      <c r="N52" s="11"/>
      <c r="O52" s="11"/>
    </row>
    <row r="53" spans="2:15" ht="15.75" customHeight="1">
      <c r="B53" s="11"/>
      <c r="C53" s="11"/>
      <c r="D53" s="11"/>
      <c r="E53" s="11"/>
      <c r="F53" s="11"/>
      <c r="G53" s="11"/>
      <c r="H53" s="11"/>
      <c r="I53" s="12"/>
      <c r="J53" s="12"/>
      <c r="K53" s="13"/>
      <c r="L53" s="12"/>
      <c r="M53" s="11"/>
      <c r="N53" s="11"/>
      <c r="O53" s="11"/>
    </row>
    <row r="54" spans="2:15" ht="15.75" customHeight="1">
      <c r="B54" s="11"/>
      <c r="C54" s="11"/>
      <c r="D54" s="11"/>
      <c r="E54" s="11"/>
      <c r="F54" s="11"/>
      <c r="G54" s="11"/>
      <c r="H54" s="11"/>
      <c r="I54" s="12"/>
      <c r="J54" s="12"/>
      <c r="K54" s="13"/>
      <c r="L54" s="12"/>
      <c r="M54" s="11"/>
      <c r="N54" s="11"/>
      <c r="O54" s="11"/>
    </row>
    <row r="55" spans="2:15" ht="15.75" customHeight="1">
      <c r="B55" s="11"/>
      <c r="C55" s="11"/>
      <c r="D55" s="11"/>
      <c r="E55" s="11"/>
      <c r="F55" s="11"/>
      <c r="G55" s="11"/>
      <c r="H55" s="11"/>
      <c r="I55" s="12"/>
      <c r="J55" s="12"/>
      <c r="K55" s="13"/>
      <c r="L55" s="12"/>
      <c r="M55" s="11"/>
      <c r="N55" s="11"/>
      <c r="O55" s="11"/>
    </row>
    <row r="56" spans="2:15" ht="15.75" customHeight="1">
      <c r="B56" s="11"/>
      <c r="C56" s="11"/>
      <c r="D56" s="11"/>
      <c r="E56" s="11"/>
      <c r="F56" s="11"/>
      <c r="G56" s="11"/>
      <c r="H56" s="11"/>
      <c r="I56" s="12"/>
      <c r="J56" s="12"/>
      <c r="K56" s="13"/>
      <c r="L56" s="12"/>
      <c r="M56" s="11"/>
      <c r="N56" s="11"/>
      <c r="O56" s="11"/>
    </row>
    <row r="57" spans="2:15" ht="15.75" customHeight="1">
      <c r="B57" s="11"/>
      <c r="C57" s="11"/>
      <c r="D57" s="11"/>
      <c r="E57" s="11"/>
      <c r="F57" s="11"/>
      <c r="G57" s="11"/>
      <c r="H57" s="11"/>
      <c r="I57" s="12"/>
      <c r="J57" s="12"/>
      <c r="K57" s="13"/>
      <c r="L57" s="12"/>
      <c r="M57" s="11"/>
      <c r="N57" s="11"/>
      <c r="O57" s="11"/>
    </row>
    <row r="58" spans="2:15" ht="15.75" customHeight="1">
      <c r="B58" s="11"/>
      <c r="C58" s="11"/>
      <c r="D58" s="11"/>
      <c r="E58" s="11"/>
      <c r="F58" s="11"/>
      <c r="G58" s="11"/>
      <c r="H58" s="11"/>
      <c r="I58" s="12"/>
      <c r="J58" s="12"/>
      <c r="K58" s="13"/>
      <c r="L58" s="12"/>
      <c r="M58" s="11"/>
      <c r="N58" s="11"/>
      <c r="O58" s="11"/>
    </row>
    <row r="59" spans="2:15" ht="15.75" customHeight="1">
      <c r="B59" s="11"/>
      <c r="C59" s="11"/>
      <c r="D59" s="11"/>
      <c r="E59" s="11"/>
      <c r="F59" s="11"/>
      <c r="G59" s="11"/>
      <c r="H59" s="11"/>
      <c r="I59" s="12"/>
      <c r="J59" s="12"/>
      <c r="K59" s="13"/>
      <c r="L59" s="12"/>
      <c r="M59" s="11"/>
      <c r="N59" s="11"/>
      <c r="O59" s="11"/>
    </row>
    <row r="60" spans="2:15" ht="15.75" customHeight="1">
      <c r="B60" s="11"/>
      <c r="C60" s="11"/>
      <c r="D60" s="11"/>
      <c r="E60" s="11"/>
      <c r="F60" s="11"/>
      <c r="G60" s="11"/>
      <c r="H60" s="11"/>
      <c r="I60" s="12"/>
      <c r="J60" s="12"/>
      <c r="K60" s="13"/>
      <c r="L60" s="12"/>
      <c r="M60" s="11"/>
      <c r="N60" s="11"/>
      <c r="O60" s="11"/>
    </row>
    <row r="61" spans="2:15" ht="15.75" customHeight="1">
      <c r="B61" s="11"/>
      <c r="C61" s="11"/>
      <c r="D61" s="11"/>
      <c r="E61" s="11"/>
      <c r="F61" s="11"/>
      <c r="G61" s="11"/>
      <c r="H61" s="11"/>
      <c r="I61" s="12"/>
      <c r="J61" s="12"/>
      <c r="K61" s="13"/>
      <c r="L61" s="12"/>
      <c r="M61" s="11"/>
      <c r="N61" s="11"/>
      <c r="O61" s="11"/>
    </row>
    <row r="62" spans="2:15" ht="15.75" customHeight="1">
      <c r="B62" s="11"/>
      <c r="C62" s="11"/>
      <c r="D62" s="11"/>
      <c r="E62" s="11"/>
      <c r="F62" s="11"/>
      <c r="G62" s="11"/>
      <c r="H62" s="11"/>
      <c r="I62" s="12"/>
      <c r="J62" s="12"/>
      <c r="K62" s="13"/>
      <c r="L62" s="12"/>
      <c r="M62" s="11"/>
      <c r="N62" s="11"/>
      <c r="O62" s="11"/>
    </row>
    <row r="63" spans="2:15" ht="15.75" customHeight="1">
      <c r="B63" s="11"/>
      <c r="C63" s="11"/>
      <c r="D63" s="11"/>
      <c r="E63" s="11"/>
      <c r="F63" s="11"/>
      <c r="G63" s="11"/>
      <c r="H63" s="11"/>
      <c r="I63" s="12"/>
      <c r="J63" s="12"/>
      <c r="K63" s="13"/>
      <c r="L63" s="12"/>
      <c r="M63" s="11"/>
      <c r="N63" s="11"/>
      <c r="O63" s="11"/>
    </row>
    <row r="64" spans="2:15" ht="15.75" customHeight="1">
      <c r="B64" s="11"/>
      <c r="C64" s="11"/>
      <c r="D64" s="11"/>
      <c r="E64" s="11"/>
      <c r="F64" s="11"/>
      <c r="G64" s="11"/>
      <c r="H64" s="11"/>
      <c r="I64" s="12"/>
      <c r="J64" s="12"/>
      <c r="K64" s="13"/>
      <c r="L64" s="12"/>
      <c r="M64" s="11"/>
      <c r="N64" s="11"/>
      <c r="O64" s="11"/>
    </row>
    <row r="65" spans="2:15" ht="15.75" customHeight="1">
      <c r="B65" s="11"/>
      <c r="C65" s="11"/>
      <c r="D65" s="11"/>
      <c r="E65" s="11"/>
      <c r="F65" s="11"/>
      <c r="G65" s="11"/>
      <c r="H65" s="11"/>
      <c r="I65" s="12"/>
      <c r="J65" s="12"/>
      <c r="K65" s="13"/>
      <c r="L65" s="12"/>
      <c r="M65" s="11"/>
      <c r="N65" s="11"/>
      <c r="O65" s="11"/>
    </row>
    <row r="66" spans="2:15" ht="15.75" customHeight="1">
      <c r="B66" s="11"/>
      <c r="C66" s="11"/>
      <c r="D66" s="11"/>
      <c r="E66" s="11"/>
      <c r="F66" s="11"/>
      <c r="G66" s="11"/>
      <c r="H66" s="11"/>
      <c r="I66" s="12"/>
      <c r="J66" s="12"/>
      <c r="K66" s="13"/>
      <c r="L66" s="12"/>
      <c r="M66" s="11"/>
      <c r="N66" s="11"/>
      <c r="O66" s="11"/>
    </row>
    <row r="67" spans="2:15" ht="15.75" customHeight="1">
      <c r="B67" s="11"/>
      <c r="C67" s="11"/>
      <c r="D67" s="11"/>
      <c r="E67" s="11"/>
      <c r="F67" s="11"/>
      <c r="G67" s="11"/>
      <c r="H67" s="11"/>
      <c r="I67" s="12"/>
      <c r="J67" s="12"/>
      <c r="K67" s="13"/>
      <c r="L67" s="12"/>
      <c r="M67" s="11"/>
      <c r="N67" s="11"/>
      <c r="O67" s="11"/>
    </row>
    <row r="68" spans="2:15" ht="15.75" customHeight="1">
      <c r="B68" s="11"/>
      <c r="C68" s="11"/>
      <c r="D68" s="11"/>
      <c r="E68" s="11"/>
      <c r="F68" s="11"/>
      <c r="G68" s="11"/>
      <c r="H68" s="11"/>
      <c r="I68" s="12"/>
      <c r="J68" s="12"/>
      <c r="K68" s="13"/>
      <c r="L68" s="12"/>
      <c r="M68" s="11"/>
      <c r="N68" s="11"/>
      <c r="O68" s="11"/>
    </row>
    <row r="69" spans="2:15" ht="15.75" customHeight="1">
      <c r="B69" s="11"/>
      <c r="C69" s="11"/>
      <c r="D69" s="11"/>
      <c r="E69" s="11"/>
      <c r="F69" s="11"/>
      <c r="G69" s="11"/>
      <c r="H69" s="11"/>
      <c r="I69" s="12"/>
      <c r="J69" s="12"/>
      <c r="K69" s="13"/>
      <c r="L69" s="12"/>
      <c r="M69" s="11"/>
      <c r="N69" s="11"/>
      <c r="O69" s="11"/>
    </row>
    <row r="70" spans="2:15" ht="15.75" customHeight="1">
      <c r="B70" s="11"/>
      <c r="C70" s="11"/>
      <c r="D70" s="11"/>
      <c r="E70" s="11"/>
      <c r="F70" s="11"/>
      <c r="G70" s="11"/>
      <c r="H70" s="11"/>
      <c r="I70" s="12"/>
      <c r="J70" s="12"/>
      <c r="K70" s="13"/>
      <c r="L70" s="12"/>
      <c r="M70" s="11"/>
      <c r="N70" s="11"/>
      <c r="O70" s="11"/>
    </row>
    <row r="71" spans="2:15" ht="15.75" customHeight="1">
      <c r="B71" s="11"/>
      <c r="C71" s="11"/>
      <c r="D71" s="11"/>
      <c r="E71" s="11"/>
      <c r="F71" s="11"/>
      <c r="G71" s="11"/>
      <c r="H71" s="11"/>
      <c r="I71" s="12"/>
      <c r="J71" s="12"/>
      <c r="K71" s="13"/>
      <c r="L71" s="12"/>
      <c r="M71" s="11"/>
      <c r="N71" s="11"/>
      <c r="O71" s="11"/>
    </row>
    <row r="72" spans="2:15" ht="15.75" customHeight="1">
      <c r="B72" s="11"/>
      <c r="C72" s="11"/>
      <c r="D72" s="11"/>
      <c r="E72" s="11"/>
      <c r="F72" s="11"/>
      <c r="G72" s="11"/>
      <c r="H72" s="11"/>
      <c r="I72" s="12"/>
      <c r="J72" s="12"/>
      <c r="K72" s="13"/>
      <c r="L72" s="12"/>
      <c r="M72" s="11"/>
      <c r="N72" s="11"/>
      <c r="O72" s="11"/>
    </row>
    <row r="73" spans="2:15" ht="15.75" customHeight="1">
      <c r="B73" s="11"/>
      <c r="C73" s="11"/>
      <c r="D73" s="11"/>
      <c r="E73" s="11"/>
      <c r="F73" s="11"/>
      <c r="G73" s="11"/>
      <c r="H73" s="11"/>
      <c r="I73" s="12"/>
      <c r="J73" s="12"/>
      <c r="K73" s="13"/>
      <c r="L73" s="12"/>
      <c r="M73" s="11"/>
      <c r="N73" s="11"/>
      <c r="O73" s="11"/>
    </row>
    <row r="74" spans="2:15" ht="15.75" customHeight="1">
      <c r="B74" s="11"/>
      <c r="C74" s="11"/>
      <c r="D74" s="11"/>
      <c r="E74" s="11"/>
      <c r="F74" s="11"/>
      <c r="G74" s="11"/>
      <c r="H74" s="11"/>
      <c r="I74" s="12"/>
      <c r="J74" s="12"/>
      <c r="K74" s="13"/>
      <c r="L74" s="12"/>
      <c r="M74" s="11"/>
      <c r="N74" s="11"/>
      <c r="O74" s="11"/>
    </row>
    <row r="75" spans="2:15" ht="15.75" customHeight="1">
      <c r="B75" s="11"/>
      <c r="C75" s="11"/>
      <c r="D75" s="11"/>
      <c r="E75" s="11"/>
      <c r="F75" s="11"/>
      <c r="G75" s="11"/>
      <c r="H75" s="11"/>
      <c r="I75" s="12"/>
      <c r="J75" s="12"/>
      <c r="K75" s="13"/>
      <c r="L75" s="12"/>
      <c r="M75" s="11"/>
      <c r="N75" s="11"/>
      <c r="O75" s="11"/>
    </row>
    <row r="76" spans="2:15" ht="15.75" customHeight="1">
      <c r="B76" s="11"/>
      <c r="C76" s="11"/>
      <c r="D76" s="11"/>
      <c r="E76" s="11"/>
      <c r="F76" s="11"/>
      <c r="G76" s="11"/>
      <c r="H76" s="11"/>
      <c r="I76" s="12"/>
      <c r="J76" s="12"/>
      <c r="K76" s="13"/>
      <c r="L76" s="12"/>
      <c r="M76" s="11"/>
      <c r="N76" s="11"/>
      <c r="O76" s="11"/>
    </row>
    <row r="77" spans="2:15" ht="15.75" customHeight="1">
      <c r="B77" s="11"/>
      <c r="C77" s="11"/>
      <c r="D77" s="11"/>
      <c r="E77" s="11"/>
      <c r="F77" s="11"/>
      <c r="G77" s="11"/>
      <c r="H77" s="11"/>
      <c r="I77" s="12"/>
      <c r="J77" s="12"/>
      <c r="K77" s="13"/>
      <c r="L77" s="12"/>
      <c r="M77" s="11"/>
      <c r="N77" s="11"/>
      <c r="O77" s="11"/>
    </row>
    <row r="78" spans="2:15" ht="15.75" customHeight="1">
      <c r="B78" s="11"/>
      <c r="C78" s="11"/>
      <c r="D78" s="11"/>
      <c r="E78" s="11"/>
      <c r="F78" s="11"/>
      <c r="G78" s="11"/>
      <c r="H78" s="11"/>
      <c r="I78" s="12"/>
      <c r="J78" s="12"/>
      <c r="K78" s="13"/>
      <c r="L78" s="12"/>
      <c r="M78" s="11"/>
      <c r="N78" s="11"/>
      <c r="O78" s="11"/>
    </row>
    <row r="79" spans="2:15" ht="15.75" customHeight="1">
      <c r="B79" s="11"/>
      <c r="C79" s="11"/>
      <c r="D79" s="11"/>
      <c r="E79" s="11"/>
      <c r="F79" s="11"/>
      <c r="G79" s="11"/>
      <c r="H79" s="11"/>
      <c r="I79" s="12"/>
      <c r="J79" s="12"/>
      <c r="K79" s="13"/>
      <c r="L79" s="12"/>
      <c r="M79" s="11"/>
      <c r="N79" s="11"/>
      <c r="O79" s="11"/>
    </row>
    <row r="80" spans="2:15" ht="15.75" customHeight="1">
      <c r="B80" s="11"/>
      <c r="C80" s="11"/>
      <c r="D80" s="11"/>
      <c r="E80" s="11"/>
      <c r="F80" s="11"/>
      <c r="G80" s="11"/>
      <c r="H80" s="11"/>
      <c r="I80" s="12"/>
      <c r="J80" s="12"/>
      <c r="K80" s="13"/>
      <c r="L80" s="12"/>
      <c r="M80" s="11"/>
      <c r="N80" s="11"/>
      <c r="O80" s="11"/>
    </row>
    <row r="81" spans="2:15" ht="15.75" customHeight="1">
      <c r="B81" s="11"/>
      <c r="C81" s="11"/>
      <c r="D81" s="11"/>
      <c r="E81" s="11"/>
      <c r="F81" s="11"/>
      <c r="G81" s="11"/>
      <c r="H81" s="11"/>
      <c r="I81" s="12"/>
      <c r="J81" s="12"/>
      <c r="K81" s="13"/>
      <c r="L81" s="12"/>
      <c r="M81" s="11"/>
      <c r="N81" s="11"/>
      <c r="O81" s="11"/>
    </row>
    <row r="82" spans="2:15" ht="15.75" customHeight="1">
      <c r="B82" s="11"/>
      <c r="C82" s="11"/>
      <c r="D82" s="11"/>
      <c r="E82" s="11"/>
      <c r="F82" s="11"/>
      <c r="G82" s="11"/>
      <c r="H82" s="11"/>
      <c r="I82" s="12"/>
      <c r="J82" s="12"/>
      <c r="K82" s="13"/>
      <c r="L82" s="12"/>
      <c r="M82" s="11"/>
      <c r="N82" s="11"/>
      <c r="O82" s="11"/>
    </row>
    <row r="83" spans="2:15" ht="15.75" customHeight="1">
      <c r="B83" s="11"/>
      <c r="C83" s="11"/>
      <c r="D83" s="11"/>
      <c r="E83" s="11"/>
      <c r="F83" s="11"/>
      <c r="G83" s="11"/>
      <c r="H83" s="11"/>
      <c r="I83" s="12"/>
      <c r="J83" s="12"/>
      <c r="K83" s="13"/>
      <c r="L83" s="12"/>
      <c r="M83" s="11"/>
      <c r="N83" s="11"/>
      <c r="O83" s="11"/>
    </row>
    <row r="84" spans="2:15" ht="15.75" customHeight="1">
      <c r="B84" s="11"/>
      <c r="C84" s="11"/>
      <c r="D84" s="11"/>
      <c r="E84" s="11"/>
      <c r="F84" s="11"/>
      <c r="G84" s="11"/>
      <c r="H84" s="11"/>
      <c r="I84" s="12"/>
      <c r="J84" s="12"/>
      <c r="K84" s="13"/>
      <c r="L84" s="12"/>
      <c r="M84" s="11"/>
      <c r="N84" s="11"/>
      <c r="O84" s="11"/>
    </row>
    <row r="85" spans="2:15" ht="15.75" customHeight="1">
      <c r="B85" s="11"/>
      <c r="C85" s="11"/>
      <c r="D85" s="11"/>
      <c r="E85" s="11"/>
      <c r="F85" s="11"/>
      <c r="G85" s="11"/>
      <c r="H85" s="11"/>
      <c r="I85" s="12"/>
      <c r="J85" s="12"/>
      <c r="K85" s="13"/>
      <c r="L85" s="12"/>
      <c r="M85" s="11"/>
      <c r="N85" s="11"/>
      <c r="O85" s="11"/>
    </row>
    <row r="86" spans="2:15" ht="15.75" customHeight="1">
      <c r="B86" s="11"/>
      <c r="C86" s="11"/>
      <c r="D86" s="11"/>
      <c r="E86" s="11"/>
      <c r="F86" s="11"/>
      <c r="G86" s="11"/>
      <c r="H86" s="11"/>
      <c r="I86" s="12"/>
      <c r="J86" s="12"/>
      <c r="K86" s="13"/>
      <c r="L86" s="12"/>
      <c r="M86" s="11"/>
      <c r="N86" s="11"/>
      <c r="O86" s="11"/>
    </row>
    <row r="87" spans="2:15" ht="15.75" customHeight="1">
      <c r="B87" s="11"/>
      <c r="C87" s="11"/>
      <c r="D87" s="11"/>
      <c r="E87" s="11"/>
      <c r="F87" s="11"/>
      <c r="G87" s="11"/>
      <c r="H87" s="11"/>
      <c r="I87" s="12"/>
      <c r="J87" s="12"/>
      <c r="K87" s="13"/>
      <c r="L87" s="12"/>
      <c r="M87" s="11"/>
      <c r="N87" s="11"/>
      <c r="O87" s="11"/>
    </row>
    <row r="88" spans="2:15" ht="15.75" customHeight="1">
      <c r="B88" s="11"/>
      <c r="C88" s="11"/>
      <c r="D88" s="11"/>
      <c r="E88" s="11"/>
      <c r="F88" s="11"/>
      <c r="G88" s="11"/>
      <c r="H88" s="11"/>
      <c r="I88" s="12"/>
      <c r="J88" s="12"/>
      <c r="K88" s="13"/>
      <c r="L88" s="12"/>
      <c r="M88" s="11"/>
      <c r="N88" s="11"/>
      <c r="O88" s="11"/>
    </row>
    <row r="89" spans="2:15" ht="15.75" customHeight="1">
      <c r="B89" s="11"/>
      <c r="C89" s="11"/>
      <c r="D89" s="11"/>
      <c r="E89" s="11"/>
      <c r="F89" s="11"/>
      <c r="G89" s="11"/>
      <c r="H89" s="11"/>
      <c r="I89" s="12"/>
      <c r="J89" s="12"/>
      <c r="K89" s="13"/>
      <c r="L89" s="12"/>
      <c r="M89" s="11"/>
      <c r="N89" s="11"/>
      <c r="O89" s="11"/>
    </row>
    <row r="90" spans="2:15" ht="15.75" customHeight="1">
      <c r="B90" s="11"/>
      <c r="C90" s="11"/>
      <c r="D90" s="11"/>
      <c r="E90" s="11"/>
      <c r="F90" s="11"/>
      <c r="G90" s="11"/>
      <c r="H90" s="11"/>
      <c r="I90" s="12"/>
      <c r="J90" s="12"/>
      <c r="K90" s="13"/>
      <c r="L90" s="12"/>
      <c r="M90" s="11"/>
      <c r="N90" s="11"/>
      <c r="O90" s="11"/>
    </row>
    <row r="91" spans="2:15" ht="15.75" customHeight="1">
      <c r="B91" s="11"/>
      <c r="C91" s="11"/>
      <c r="D91" s="11"/>
      <c r="E91" s="11"/>
      <c r="F91" s="11"/>
      <c r="G91" s="11"/>
      <c r="H91" s="11"/>
      <c r="I91" s="12"/>
      <c r="J91" s="12"/>
      <c r="K91" s="13"/>
      <c r="L91" s="12"/>
      <c r="M91" s="11"/>
      <c r="N91" s="11"/>
      <c r="O91" s="11"/>
    </row>
    <row r="92" spans="2:15" ht="15.75" customHeight="1">
      <c r="B92" s="11"/>
      <c r="C92" s="11"/>
      <c r="D92" s="11"/>
      <c r="E92" s="11"/>
      <c r="F92" s="11"/>
      <c r="G92" s="11"/>
      <c r="H92" s="11"/>
      <c r="I92" s="12"/>
      <c r="J92" s="12"/>
      <c r="K92" s="13"/>
      <c r="L92" s="12"/>
      <c r="M92" s="11"/>
      <c r="N92" s="11"/>
      <c r="O92" s="11"/>
    </row>
    <row r="93" spans="2:15" ht="15.75" customHeight="1">
      <c r="B93" s="11"/>
      <c r="C93" s="11"/>
      <c r="D93" s="11"/>
      <c r="E93" s="11"/>
      <c r="F93" s="11"/>
      <c r="G93" s="11"/>
      <c r="H93" s="11"/>
      <c r="I93" s="12"/>
      <c r="J93" s="12"/>
      <c r="K93" s="13"/>
      <c r="L93" s="12"/>
      <c r="M93" s="11"/>
      <c r="N93" s="11"/>
      <c r="O93" s="11"/>
    </row>
    <row r="94" spans="2:15" ht="15.75" customHeight="1">
      <c r="B94" s="11"/>
      <c r="C94" s="11"/>
      <c r="D94" s="11"/>
      <c r="E94" s="11"/>
      <c r="F94" s="11"/>
      <c r="G94" s="11"/>
      <c r="H94" s="11"/>
      <c r="I94" s="12"/>
      <c r="J94" s="12"/>
      <c r="K94" s="13"/>
      <c r="L94" s="12"/>
      <c r="M94" s="11"/>
      <c r="N94" s="11"/>
      <c r="O94" s="11"/>
    </row>
    <row r="95" spans="2:15" ht="15.75" customHeight="1">
      <c r="B95" s="11"/>
      <c r="C95" s="11"/>
      <c r="D95" s="11"/>
      <c r="E95" s="11"/>
      <c r="F95" s="11"/>
      <c r="G95" s="11"/>
      <c r="H95" s="11"/>
      <c r="I95" s="12"/>
      <c r="J95" s="12"/>
      <c r="K95" s="13"/>
      <c r="L95" s="12"/>
      <c r="M95" s="11"/>
      <c r="N95" s="11"/>
      <c r="O95" s="11"/>
    </row>
    <row r="96" spans="2:15" ht="15.75" customHeight="1">
      <c r="B96" s="11"/>
      <c r="C96" s="11"/>
      <c r="D96" s="11"/>
      <c r="E96" s="11"/>
      <c r="F96" s="11"/>
      <c r="G96" s="11"/>
      <c r="H96" s="11"/>
      <c r="I96" s="12"/>
      <c r="J96" s="12"/>
      <c r="K96" s="13"/>
      <c r="L96" s="12"/>
      <c r="M96" s="11"/>
      <c r="N96" s="11"/>
      <c r="O96" s="11"/>
    </row>
    <row r="97" spans="2:15" ht="15.75" customHeight="1">
      <c r="B97" s="11"/>
      <c r="C97" s="11"/>
      <c r="D97" s="11"/>
      <c r="E97" s="11"/>
      <c r="F97" s="11"/>
      <c r="G97" s="11"/>
      <c r="H97" s="11"/>
      <c r="I97" s="12"/>
      <c r="J97" s="12"/>
      <c r="K97" s="13"/>
      <c r="L97" s="12"/>
      <c r="M97" s="11"/>
      <c r="N97" s="11"/>
      <c r="O97" s="11"/>
    </row>
    <row r="98" spans="2:15" ht="15.75" customHeight="1">
      <c r="B98" s="11"/>
      <c r="C98" s="11"/>
      <c r="D98" s="11"/>
      <c r="E98" s="11"/>
      <c r="F98" s="11"/>
      <c r="G98" s="11"/>
      <c r="H98" s="11"/>
      <c r="I98" s="12"/>
      <c r="J98" s="12"/>
      <c r="K98" s="13"/>
      <c r="L98" s="12"/>
      <c r="M98" s="11"/>
      <c r="N98" s="11"/>
      <c r="O98" s="11"/>
    </row>
    <row r="99" spans="2:15" ht="15.75" customHeight="1">
      <c r="B99" s="11"/>
      <c r="C99" s="11"/>
      <c r="D99" s="11"/>
      <c r="E99" s="11"/>
      <c r="F99" s="11"/>
      <c r="G99" s="11"/>
      <c r="H99" s="11"/>
      <c r="I99" s="12"/>
      <c r="J99" s="12"/>
      <c r="K99" s="13"/>
      <c r="L99" s="12"/>
      <c r="M99" s="11"/>
      <c r="N99" s="11"/>
      <c r="O99" s="11"/>
    </row>
    <row r="100" spans="2:15" ht="15.75" customHeight="1">
      <c r="B100" s="11"/>
      <c r="C100" s="11"/>
      <c r="D100" s="11"/>
      <c r="E100" s="11"/>
      <c r="F100" s="11"/>
      <c r="G100" s="11"/>
      <c r="H100" s="11"/>
      <c r="I100" s="12"/>
      <c r="J100" s="12"/>
      <c r="K100" s="13"/>
      <c r="L100" s="12"/>
      <c r="M100" s="11"/>
      <c r="N100" s="11"/>
      <c r="O100" s="11"/>
    </row>
    <row r="101" spans="2:15" ht="15.75" customHeight="1">
      <c r="B101" s="11"/>
      <c r="C101" s="11"/>
      <c r="D101" s="11"/>
      <c r="E101" s="11"/>
      <c r="F101" s="11"/>
      <c r="G101" s="11"/>
      <c r="H101" s="11"/>
      <c r="I101" s="12"/>
      <c r="J101" s="12"/>
      <c r="K101" s="13"/>
      <c r="L101" s="12"/>
      <c r="M101" s="11"/>
      <c r="N101" s="11"/>
      <c r="O101" s="11"/>
    </row>
    <row r="102" spans="2:15" ht="15.75" customHeight="1">
      <c r="B102" s="11"/>
      <c r="C102" s="11"/>
      <c r="D102" s="11"/>
      <c r="E102" s="11"/>
      <c r="F102" s="11"/>
      <c r="G102" s="11"/>
      <c r="H102" s="11"/>
      <c r="I102" s="12"/>
      <c r="J102" s="12"/>
      <c r="K102" s="13"/>
      <c r="L102" s="12"/>
      <c r="M102" s="11"/>
      <c r="N102" s="11"/>
      <c r="O102" s="11"/>
    </row>
    <row r="103" spans="2:15" ht="15.75" customHeight="1">
      <c r="B103" s="11"/>
      <c r="C103" s="11"/>
      <c r="D103" s="11"/>
      <c r="E103" s="11"/>
      <c r="F103" s="11"/>
      <c r="G103" s="11"/>
      <c r="H103" s="11"/>
      <c r="I103" s="12"/>
      <c r="J103" s="12"/>
      <c r="K103" s="13"/>
      <c r="L103" s="12"/>
      <c r="M103" s="11"/>
      <c r="N103" s="11"/>
      <c r="O103" s="11"/>
    </row>
    <row r="104" spans="2:15" ht="15.75" customHeight="1">
      <c r="B104" s="11"/>
      <c r="C104" s="11"/>
      <c r="D104" s="11"/>
      <c r="E104" s="11"/>
      <c r="F104" s="11"/>
      <c r="G104" s="11"/>
      <c r="H104" s="11"/>
      <c r="I104" s="12"/>
      <c r="J104" s="12"/>
      <c r="K104" s="13"/>
      <c r="L104" s="12"/>
      <c r="M104" s="11"/>
      <c r="N104" s="11"/>
      <c r="O104" s="11"/>
    </row>
    <row r="105" spans="2:15" ht="15.75" customHeight="1">
      <c r="B105" s="11"/>
      <c r="C105" s="11"/>
      <c r="D105" s="11"/>
      <c r="E105" s="11"/>
      <c r="F105" s="11"/>
      <c r="G105" s="11"/>
      <c r="H105" s="11"/>
      <c r="I105" s="12"/>
      <c r="J105" s="12"/>
      <c r="K105" s="13"/>
      <c r="L105" s="12"/>
      <c r="M105" s="11"/>
      <c r="N105" s="11"/>
      <c r="O105" s="11"/>
    </row>
    <row r="106" spans="2:15" ht="15.75" customHeight="1">
      <c r="B106" s="11"/>
      <c r="C106" s="11"/>
      <c r="D106" s="11"/>
      <c r="E106" s="11"/>
      <c r="F106" s="11"/>
      <c r="G106" s="11"/>
      <c r="H106" s="11"/>
      <c r="I106" s="12"/>
      <c r="J106" s="12"/>
      <c r="K106" s="13"/>
      <c r="L106" s="12"/>
      <c r="M106" s="11"/>
      <c r="N106" s="11"/>
      <c r="O106" s="11"/>
    </row>
    <row r="107" spans="2:15" ht="15.75" customHeight="1">
      <c r="B107" s="11"/>
      <c r="C107" s="11"/>
      <c r="D107" s="11"/>
      <c r="E107" s="11"/>
      <c r="F107" s="11"/>
      <c r="G107" s="11"/>
      <c r="H107" s="11"/>
      <c r="I107" s="12"/>
      <c r="J107" s="12"/>
      <c r="K107" s="13"/>
      <c r="L107" s="12"/>
      <c r="M107" s="11"/>
      <c r="N107" s="11"/>
      <c r="O107" s="11"/>
    </row>
    <row r="108" spans="2:15" ht="15.75" customHeight="1">
      <c r="B108" s="11"/>
      <c r="C108" s="11"/>
      <c r="D108" s="11"/>
      <c r="E108" s="11"/>
      <c r="F108" s="11"/>
      <c r="G108" s="11"/>
      <c r="H108" s="11"/>
      <c r="I108" s="12"/>
      <c r="J108" s="12"/>
      <c r="K108" s="13"/>
      <c r="L108" s="12"/>
      <c r="M108" s="11"/>
      <c r="N108" s="11"/>
      <c r="O108" s="11"/>
    </row>
    <row r="109" spans="2:15" ht="15.75" customHeight="1">
      <c r="B109" s="11"/>
      <c r="C109" s="11"/>
      <c r="D109" s="11"/>
      <c r="E109" s="11"/>
      <c r="F109" s="11"/>
      <c r="G109" s="11"/>
      <c r="H109" s="11"/>
      <c r="I109" s="12"/>
      <c r="J109" s="12"/>
      <c r="K109" s="13"/>
      <c r="L109" s="12"/>
      <c r="M109" s="11"/>
      <c r="N109" s="11"/>
      <c r="O109" s="11"/>
    </row>
    <row r="110" spans="2:15" ht="15.75" customHeight="1">
      <c r="B110" s="11"/>
      <c r="C110" s="11"/>
      <c r="D110" s="11"/>
      <c r="E110" s="11"/>
      <c r="F110" s="11"/>
      <c r="G110" s="11"/>
      <c r="H110" s="11"/>
      <c r="I110" s="12"/>
      <c r="J110" s="12"/>
      <c r="K110" s="13"/>
      <c r="L110" s="12"/>
      <c r="M110" s="11"/>
      <c r="N110" s="11"/>
      <c r="O110" s="11"/>
    </row>
    <row r="111" spans="2:15" ht="15.75" customHeight="1">
      <c r="B111" s="11"/>
      <c r="C111" s="11"/>
      <c r="D111" s="11"/>
      <c r="E111" s="11"/>
      <c r="F111" s="11"/>
      <c r="G111" s="11"/>
      <c r="H111" s="11"/>
      <c r="I111" s="12"/>
      <c r="J111" s="12"/>
      <c r="K111" s="13"/>
      <c r="L111" s="12"/>
      <c r="M111" s="11"/>
      <c r="N111" s="11"/>
      <c r="O111" s="11"/>
    </row>
    <row r="112" spans="2:15" ht="15.75" customHeight="1">
      <c r="B112" s="11"/>
      <c r="C112" s="11"/>
      <c r="D112" s="11"/>
      <c r="E112" s="11"/>
      <c r="F112" s="11"/>
      <c r="G112" s="11"/>
      <c r="H112" s="11"/>
      <c r="I112" s="12"/>
      <c r="J112" s="12"/>
      <c r="K112" s="13"/>
      <c r="L112" s="12"/>
      <c r="M112" s="11"/>
      <c r="N112" s="11"/>
      <c r="O112" s="11"/>
    </row>
    <row r="113" spans="2:15" ht="15.75" customHeight="1">
      <c r="B113" s="11"/>
      <c r="C113" s="11"/>
      <c r="D113" s="11"/>
      <c r="E113" s="11"/>
      <c r="F113" s="11"/>
      <c r="G113" s="11"/>
      <c r="H113" s="11"/>
      <c r="I113" s="12"/>
      <c r="J113" s="12"/>
      <c r="K113" s="13"/>
      <c r="L113" s="12"/>
      <c r="M113" s="11"/>
      <c r="N113" s="11"/>
      <c r="O113" s="11"/>
    </row>
    <row r="114" spans="2:15" ht="15.75" customHeight="1">
      <c r="B114" s="11"/>
      <c r="C114" s="11"/>
      <c r="D114" s="11"/>
      <c r="E114" s="11"/>
      <c r="F114" s="11"/>
      <c r="G114" s="11"/>
      <c r="H114" s="11"/>
      <c r="I114" s="12"/>
      <c r="J114" s="12"/>
      <c r="K114" s="13"/>
      <c r="L114" s="12"/>
      <c r="M114" s="11"/>
      <c r="N114" s="11"/>
      <c r="O114" s="11"/>
    </row>
    <row r="115" spans="2:15" ht="15.75" customHeight="1">
      <c r="B115" s="11"/>
      <c r="C115" s="11"/>
      <c r="D115" s="11"/>
      <c r="E115" s="11"/>
      <c r="F115" s="11"/>
      <c r="G115" s="11"/>
      <c r="H115" s="11"/>
      <c r="I115" s="12"/>
      <c r="J115" s="12"/>
      <c r="K115" s="13"/>
      <c r="L115" s="12"/>
      <c r="M115" s="11"/>
      <c r="N115" s="11"/>
      <c r="O115" s="11"/>
    </row>
    <row r="116" spans="2:15" ht="15.75" customHeight="1">
      <c r="B116" s="11"/>
      <c r="C116" s="11"/>
      <c r="D116" s="11"/>
      <c r="E116" s="11"/>
      <c r="F116" s="11"/>
      <c r="G116" s="11"/>
      <c r="H116" s="11"/>
      <c r="I116" s="12"/>
      <c r="J116" s="12"/>
      <c r="K116" s="13"/>
      <c r="L116" s="12"/>
      <c r="M116" s="11"/>
      <c r="N116" s="11"/>
      <c r="O116" s="11"/>
    </row>
    <row r="117" spans="2:15" ht="15.75" customHeight="1">
      <c r="B117" s="11"/>
      <c r="C117" s="11"/>
      <c r="D117" s="11"/>
      <c r="E117" s="11"/>
      <c r="F117" s="11"/>
      <c r="G117" s="11"/>
      <c r="H117" s="11"/>
      <c r="I117" s="12"/>
      <c r="J117" s="12"/>
      <c r="K117" s="13"/>
      <c r="L117" s="12"/>
      <c r="M117" s="11"/>
      <c r="N117" s="11"/>
      <c r="O117" s="11"/>
    </row>
    <row r="118" spans="2:15" ht="15.75" customHeight="1">
      <c r="B118" s="11"/>
      <c r="C118" s="11"/>
      <c r="D118" s="11"/>
      <c r="E118" s="11"/>
      <c r="F118" s="11"/>
      <c r="G118" s="11"/>
      <c r="H118" s="11"/>
      <c r="I118" s="12"/>
      <c r="J118" s="12"/>
      <c r="K118" s="13"/>
      <c r="L118" s="12"/>
      <c r="M118" s="11"/>
      <c r="N118" s="11"/>
      <c r="O118" s="11"/>
    </row>
    <row r="119" spans="2:15" ht="15.75" customHeight="1">
      <c r="B119" s="11"/>
      <c r="C119" s="11"/>
      <c r="D119" s="11"/>
      <c r="E119" s="11"/>
      <c r="F119" s="11"/>
      <c r="G119" s="11"/>
      <c r="H119" s="11"/>
      <c r="I119" s="12"/>
      <c r="J119" s="12"/>
      <c r="K119" s="13"/>
      <c r="L119" s="12"/>
      <c r="M119" s="11"/>
      <c r="N119" s="11"/>
      <c r="O119" s="11"/>
    </row>
    <row r="120" spans="2:15" ht="15.75" customHeight="1">
      <c r="B120" s="11"/>
      <c r="C120" s="11"/>
      <c r="D120" s="11"/>
      <c r="E120" s="11"/>
      <c r="F120" s="11"/>
      <c r="G120" s="11"/>
      <c r="H120" s="11"/>
      <c r="I120" s="12"/>
      <c r="J120" s="12"/>
      <c r="K120" s="13"/>
      <c r="L120" s="12"/>
      <c r="M120" s="11"/>
      <c r="N120" s="11"/>
      <c r="O120" s="11"/>
    </row>
    <row r="121" spans="2:15" ht="15.75" customHeight="1">
      <c r="B121" s="11"/>
      <c r="C121" s="11"/>
      <c r="D121" s="11"/>
      <c r="E121" s="11"/>
      <c r="F121" s="11"/>
      <c r="G121" s="11"/>
      <c r="H121" s="11"/>
      <c r="I121" s="12"/>
      <c r="J121" s="12"/>
      <c r="K121" s="13"/>
      <c r="L121" s="12"/>
      <c r="M121" s="11"/>
      <c r="N121" s="11"/>
      <c r="O121" s="11"/>
    </row>
    <row r="122" spans="2:15" ht="15.75" customHeight="1">
      <c r="B122" s="11"/>
      <c r="C122" s="11"/>
      <c r="D122" s="11"/>
      <c r="E122" s="11"/>
      <c r="F122" s="11"/>
      <c r="G122" s="11"/>
      <c r="H122" s="11"/>
      <c r="I122" s="12"/>
      <c r="J122" s="12"/>
      <c r="K122" s="13"/>
      <c r="L122" s="12"/>
      <c r="M122" s="11"/>
      <c r="N122" s="11"/>
      <c r="O122" s="11"/>
    </row>
    <row r="123" spans="2:15" ht="15.75" customHeight="1">
      <c r="B123" s="11"/>
      <c r="C123" s="11"/>
      <c r="D123" s="11"/>
      <c r="E123" s="11"/>
      <c r="F123" s="11"/>
      <c r="G123" s="11"/>
      <c r="H123" s="11"/>
      <c r="I123" s="12"/>
      <c r="J123" s="12"/>
      <c r="K123" s="13"/>
      <c r="L123" s="12"/>
      <c r="M123" s="11"/>
      <c r="N123" s="11"/>
      <c r="O123" s="11"/>
    </row>
    <row r="124" spans="2:15" ht="15.75" customHeight="1">
      <c r="B124" s="11"/>
      <c r="C124" s="11"/>
      <c r="D124" s="11"/>
      <c r="E124" s="11"/>
      <c r="F124" s="11"/>
      <c r="G124" s="11"/>
      <c r="H124" s="11"/>
      <c r="I124" s="12"/>
      <c r="J124" s="12"/>
      <c r="K124" s="13"/>
      <c r="L124" s="12"/>
      <c r="M124" s="11"/>
      <c r="N124" s="11"/>
      <c r="O124" s="11"/>
    </row>
    <row r="125" spans="2:15" ht="15.75" customHeight="1">
      <c r="B125" s="11"/>
      <c r="C125" s="11"/>
      <c r="D125" s="11"/>
      <c r="E125" s="11"/>
      <c r="F125" s="11"/>
      <c r="G125" s="11"/>
      <c r="H125" s="11"/>
      <c r="I125" s="12"/>
      <c r="J125" s="12"/>
      <c r="K125" s="13"/>
      <c r="L125" s="12"/>
      <c r="M125" s="11"/>
      <c r="N125" s="11"/>
      <c r="O125" s="11"/>
    </row>
    <row r="126" spans="2:15" ht="15.75" customHeight="1">
      <c r="B126" s="11"/>
      <c r="C126" s="11"/>
      <c r="D126" s="11"/>
      <c r="E126" s="11"/>
      <c r="F126" s="11"/>
      <c r="G126" s="11"/>
      <c r="H126" s="11"/>
      <c r="I126" s="12"/>
      <c r="J126" s="12"/>
      <c r="K126" s="13"/>
      <c r="L126" s="12"/>
      <c r="M126" s="11"/>
      <c r="N126" s="11"/>
      <c r="O126" s="11"/>
    </row>
    <row r="127" spans="2:15" ht="15.75" customHeight="1">
      <c r="B127" s="11"/>
      <c r="C127" s="11"/>
      <c r="D127" s="11"/>
      <c r="E127" s="11"/>
      <c r="F127" s="11"/>
      <c r="G127" s="11"/>
      <c r="H127" s="11"/>
      <c r="I127" s="12"/>
      <c r="J127" s="12"/>
      <c r="K127" s="13"/>
      <c r="L127" s="12"/>
      <c r="M127" s="11"/>
      <c r="N127" s="11"/>
      <c r="O127" s="11"/>
    </row>
    <row r="128" spans="2:15" ht="15.75" customHeight="1">
      <c r="B128" s="11"/>
      <c r="C128" s="11"/>
      <c r="D128" s="11"/>
      <c r="E128" s="11"/>
      <c r="F128" s="11"/>
      <c r="G128" s="11"/>
      <c r="H128" s="11"/>
      <c r="I128" s="12"/>
      <c r="J128" s="12"/>
      <c r="K128" s="13"/>
      <c r="L128" s="12"/>
      <c r="M128" s="11"/>
      <c r="N128" s="11"/>
      <c r="O128" s="11"/>
    </row>
    <row r="129" spans="2:15" ht="15.75" customHeight="1">
      <c r="B129" s="11"/>
      <c r="C129" s="11"/>
      <c r="D129" s="11"/>
      <c r="E129" s="11"/>
      <c r="F129" s="11"/>
      <c r="G129" s="11"/>
      <c r="H129" s="11"/>
      <c r="I129" s="12"/>
      <c r="J129" s="12"/>
      <c r="K129" s="13"/>
      <c r="L129" s="12"/>
      <c r="M129" s="11"/>
      <c r="N129" s="11"/>
      <c r="O129" s="11"/>
    </row>
    <row r="130" spans="2:15" ht="15.75" customHeight="1">
      <c r="B130" s="11"/>
      <c r="C130" s="11"/>
      <c r="D130" s="11"/>
      <c r="E130" s="11"/>
      <c r="F130" s="11"/>
      <c r="G130" s="11"/>
      <c r="H130" s="11"/>
      <c r="I130" s="12"/>
      <c r="J130" s="12"/>
      <c r="K130" s="13"/>
      <c r="L130" s="12"/>
      <c r="M130" s="11"/>
      <c r="N130" s="11"/>
      <c r="O130" s="11"/>
    </row>
    <row r="131" spans="2:15" ht="15.75" customHeight="1">
      <c r="B131" s="11"/>
      <c r="C131" s="11"/>
      <c r="D131" s="11"/>
      <c r="E131" s="11"/>
      <c r="F131" s="11"/>
      <c r="G131" s="11"/>
      <c r="H131" s="11"/>
      <c r="I131" s="12"/>
      <c r="J131" s="12"/>
      <c r="K131" s="13"/>
      <c r="L131" s="12"/>
      <c r="M131" s="11"/>
      <c r="N131" s="11"/>
      <c r="O131" s="11"/>
    </row>
    <row r="132" spans="2:15" ht="15.75" customHeight="1">
      <c r="B132" s="11"/>
      <c r="C132" s="11"/>
      <c r="D132" s="11"/>
      <c r="E132" s="11"/>
      <c r="F132" s="11"/>
      <c r="G132" s="11"/>
      <c r="H132" s="11"/>
      <c r="I132" s="12"/>
      <c r="J132" s="12"/>
      <c r="K132" s="13"/>
      <c r="L132" s="12"/>
      <c r="M132" s="11"/>
      <c r="N132" s="11"/>
      <c r="O132" s="11"/>
    </row>
    <row r="133" spans="2:15" ht="15.75" customHeight="1">
      <c r="B133" s="11"/>
      <c r="C133" s="11"/>
      <c r="D133" s="11"/>
      <c r="E133" s="11"/>
      <c r="F133" s="11"/>
      <c r="G133" s="11"/>
      <c r="H133" s="11"/>
      <c r="I133" s="12"/>
      <c r="J133" s="12"/>
      <c r="K133" s="13"/>
      <c r="L133" s="12"/>
      <c r="M133" s="11"/>
      <c r="N133" s="11"/>
      <c r="O133" s="11"/>
    </row>
    <row r="134" spans="2:15" ht="15.75" customHeight="1">
      <c r="B134" s="11"/>
      <c r="C134" s="11"/>
      <c r="D134" s="11"/>
      <c r="E134" s="11"/>
      <c r="F134" s="11"/>
      <c r="G134" s="11"/>
      <c r="H134" s="11"/>
      <c r="I134" s="12"/>
      <c r="J134" s="12"/>
      <c r="K134" s="13"/>
      <c r="L134" s="12"/>
      <c r="M134" s="11"/>
      <c r="N134" s="11"/>
      <c r="O134" s="11"/>
    </row>
    <row r="135" spans="2:15" ht="15.75" customHeight="1">
      <c r="B135" s="11"/>
      <c r="C135" s="11"/>
      <c r="D135" s="11"/>
      <c r="E135" s="11"/>
      <c r="F135" s="11"/>
      <c r="G135" s="11"/>
      <c r="H135" s="11"/>
      <c r="I135" s="12"/>
      <c r="J135" s="12"/>
      <c r="K135" s="13"/>
      <c r="L135" s="12"/>
      <c r="M135" s="11"/>
      <c r="N135" s="11"/>
      <c r="O135" s="11"/>
    </row>
    <row r="136" spans="2:15" ht="15.75" customHeight="1">
      <c r="B136" s="11"/>
      <c r="C136" s="11"/>
      <c r="D136" s="11"/>
      <c r="E136" s="11"/>
      <c r="F136" s="11"/>
      <c r="G136" s="11"/>
      <c r="H136" s="11"/>
      <c r="I136" s="12"/>
      <c r="J136" s="12"/>
      <c r="K136" s="13"/>
      <c r="L136" s="12"/>
      <c r="M136" s="11"/>
      <c r="N136" s="11"/>
      <c r="O136" s="11"/>
    </row>
    <row r="137" spans="2:15" ht="15.75" customHeight="1">
      <c r="B137" s="11"/>
      <c r="C137" s="11"/>
      <c r="D137" s="11"/>
      <c r="E137" s="11"/>
      <c r="F137" s="11"/>
      <c r="G137" s="11"/>
      <c r="H137" s="11"/>
      <c r="I137" s="12"/>
      <c r="J137" s="12"/>
      <c r="K137" s="13"/>
      <c r="L137" s="12"/>
      <c r="M137" s="11"/>
      <c r="N137" s="11"/>
      <c r="O137" s="11"/>
    </row>
    <row r="138" spans="2:15" ht="15.75" customHeight="1">
      <c r="B138" s="11"/>
      <c r="C138" s="11"/>
      <c r="D138" s="11"/>
      <c r="E138" s="11"/>
      <c r="F138" s="11"/>
      <c r="G138" s="11"/>
      <c r="H138" s="11"/>
      <c r="I138" s="12"/>
      <c r="J138" s="12"/>
      <c r="K138" s="13"/>
      <c r="L138" s="12"/>
      <c r="M138" s="11"/>
      <c r="N138" s="11"/>
      <c r="O138" s="11"/>
    </row>
    <row r="139" spans="2:15" ht="15.75" customHeight="1">
      <c r="B139" s="11"/>
      <c r="C139" s="11"/>
      <c r="D139" s="11"/>
      <c r="E139" s="11"/>
      <c r="F139" s="11"/>
      <c r="G139" s="11"/>
      <c r="H139" s="11"/>
      <c r="I139" s="12"/>
      <c r="J139" s="12"/>
      <c r="K139" s="13"/>
      <c r="L139" s="12"/>
      <c r="M139" s="11"/>
      <c r="N139" s="11"/>
      <c r="O139" s="11"/>
    </row>
    <row r="140" spans="2:15" ht="15.75" customHeight="1">
      <c r="B140" s="11"/>
      <c r="C140" s="11"/>
      <c r="D140" s="11"/>
      <c r="E140" s="11"/>
      <c r="F140" s="11"/>
      <c r="G140" s="11"/>
      <c r="H140" s="11"/>
      <c r="I140" s="12"/>
      <c r="J140" s="12"/>
      <c r="K140" s="13"/>
      <c r="L140" s="12"/>
      <c r="M140" s="11"/>
      <c r="N140" s="11"/>
      <c r="O140" s="11"/>
    </row>
    <row r="141" spans="2:15" ht="15.75" customHeight="1">
      <c r="B141" s="11"/>
      <c r="C141" s="11"/>
      <c r="D141" s="11"/>
      <c r="E141" s="11"/>
      <c r="F141" s="11"/>
      <c r="G141" s="11"/>
      <c r="H141" s="11"/>
      <c r="I141" s="12"/>
      <c r="J141" s="12"/>
      <c r="K141" s="13"/>
      <c r="L141" s="12"/>
      <c r="M141" s="11"/>
      <c r="N141" s="11"/>
      <c r="O141" s="11"/>
    </row>
    <row r="142" spans="2:15" ht="15.75" customHeight="1">
      <c r="B142" s="11"/>
      <c r="C142" s="11"/>
      <c r="D142" s="11"/>
      <c r="E142" s="11"/>
      <c r="F142" s="11"/>
      <c r="G142" s="11"/>
      <c r="H142" s="11"/>
      <c r="I142" s="12"/>
      <c r="J142" s="12"/>
      <c r="K142" s="13"/>
      <c r="L142" s="12"/>
      <c r="M142" s="11"/>
      <c r="N142" s="11"/>
      <c r="O142" s="11"/>
    </row>
    <row r="143" spans="2:15" ht="15.75" customHeight="1">
      <c r="B143" s="11"/>
      <c r="C143" s="11"/>
      <c r="D143" s="11"/>
      <c r="E143" s="11"/>
      <c r="F143" s="11"/>
      <c r="G143" s="11"/>
      <c r="H143" s="11"/>
      <c r="I143" s="12"/>
      <c r="J143" s="12"/>
      <c r="K143" s="13"/>
      <c r="L143" s="12"/>
      <c r="M143" s="11"/>
      <c r="N143" s="11"/>
      <c r="O143" s="11"/>
    </row>
    <row r="144" spans="2:15" ht="15.75" customHeight="1">
      <c r="B144" s="11"/>
      <c r="C144" s="11"/>
      <c r="D144" s="11"/>
      <c r="E144" s="11"/>
      <c r="F144" s="11"/>
      <c r="G144" s="11"/>
      <c r="H144" s="11"/>
      <c r="I144" s="12"/>
      <c r="J144" s="12"/>
      <c r="K144" s="13"/>
      <c r="L144" s="12"/>
      <c r="M144" s="11"/>
      <c r="N144" s="11"/>
      <c r="O144" s="11"/>
    </row>
    <row r="145" spans="2:15" ht="15.75" customHeight="1">
      <c r="B145" s="11"/>
      <c r="C145" s="11"/>
      <c r="D145" s="11"/>
      <c r="E145" s="11"/>
      <c r="F145" s="11"/>
      <c r="G145" s="11"/>
      <c r="H145" s="11"/>
      <c r="I145" s="12"/>
      <c r="J145" s="12"/>
      <c r="K145" s="13"/>
      <c r="L145" s="12"/>
      <c r="M145" s="11"/>
      <c r="N145" s="11"/>
      <c r="O145" s="11"/>
    </row>
    <row r="146" spans="2:15" ht="15.75" customHeight="1">
      <c r="B146" s="11"/>
      <c r="C146" s="11"/>
      <c r="D146" s="11"/>
      <c r="E146" s="11"/>
      <c r="F146" s="11"/>
      <c r="G146" s="11"/>
      <c r="H146" s="11"/>
      <c r="I146" s="12"/>
      <c r="J146" s="12"/>
      <c r="K146" s="13"/>
      <c r="L146" s="12"/>
      <c r="M146" s="11"/>
      <c r="N146" s="11"/>
      <c r="O146" s="11"/>
    </row>
    <row r="147" spans="2:15" ht="15.75" customHeight="1">
      <c r="B147" s="11"/>
      <c r="C147" s="11"/>
      <c r="D147" s="11"/>
      <c r="E147" s="11"/>
      <c r="F147" s="11"/>
      <c r="G147" s="11"/>
      <c r="H147" s="11"/>
      <c r="I147" s="12"/>
      <c r="J147" s="12"/>
      <c r="K147" s="13"/>
      <c r="L147" s="12"/>
      <c r="M147" s="11"/>
      <c r="N147" s="11"/>
      <c r="O147" s="11"/>
    </row>
    <row r="148" spans="2:15" ht="15.75" customHeight="1">
      <c r="B148" s="11"/>
      <c r="C148" s="11"/>
      <c r="D148" s="11"/>
      <c r="E148" s="11"/>
      <c r="F148" s="11"/>
      <c r="G148" s="11"/>
      <c r="H148" s="11"/>
      <c r="I148" s="12"/>
      <c r="J148" s="12"/>
      <c r="K148" s="13"/>
      <c r="L148" s="12"/>
      <c r="M148" s="11"/>
      <c r="N148" s="11"/>
      <c r="O148" s="11"/>
    </row>
    <row r="149" spans="2:15" ht="15.75" customHeight="1">
      <c r="B149" s="11"/>
      <c r="C149" s="11"/>
      <c r="D149" s="11"/>
      <c r="E149" s="11"/>
      <c r="F149" s="11"/>
      <c r="G149" s="11"/>
      <c r="H149" s="11"/>
      <c r="I149" s="12"/>
      <c r="J149" s="12"/>
      <c r="K149" s="13"/>
      <c r="L149" s="12"/>
      <c r="M149" s="11"/>
      <c r="N149" s="11"/>
      <c r="O149" s="11"/>
    </row>
    <row r="150" spans="2:15" ht="15.75" customHeight="1">
      <c r="B150" s="11"/>
      <c r="C150" s="11"/>
      <c r="D150" s="11"/>
      <c r="E150" s="11"/>
      <c r="F150" s="11"/>
      <c r="G150" s="11"/>
      <c r="H150" s="11"/>
      <c r="I150" s="12"/>
      <c r="J150" s="12"/>
      <c r="K150" s="13"/>
      <c r="L150" s="12"/>
      <c r="M150" s="11"/>
      <c r="N150" s="11"/>
      <c r="O150" s="11"/>
    </row>
    <row r="151" spans="2:15" ht="15.75" customHeight="1">
      <c r="B151" s="11"/>
      <c r="C151" s="11"/>
      <c r="D151" s="11"/>
      <c r="E151" s="11"/>
      <c r="F151" s="11"/>
      <c r="G151" s="11"/>
      <c r="H151" s="11"/>
      <c r="I151" s="12"/>
      <c r="J151" s="12"/>
      <c r="K151" s="13"/>
      <c r="L151" s="12"/>
      <c r="M151" s="11"/>
      <c r="N151" s="11"/>
      <c r="O151" s="11"/>
    </row>
    <row r="152" spans="2:15" ht="15.75" customHeight="1">
      <c r="B152" s="11"/>
      <c r="C152" s="11"/>
      <c r="D152" s="11"/>
      <c r="E152" s="11"/>
      <c r="F152" s="11"/>
      <c r="G152" s="11"/>
      <c r="H152" s="11"/>
      <c r="I152" s="12"/>
      <c r="J152" s="12"/>
      <c r="K152" s="13"/>
      <c r="L152" s="12"/>
      <c r="M152" s="11"/>
      <c r="N152" s="11"/>
      <c r="O152" s="11"/>
    </row>
    <row r="153" spans="2:15" ht="15.75" customHeight="1">
      <c r="B153" s="11"/>
      <c r="C153" s="11"/>
      <c r="D153" s="11"/>
      <c r="E153" s="11"/>
      <c r="F153" s="11"/>
      <c r="G153" s="11"/>
      <c r="H153" s="11"/>
      <c r="I153" s="12"/>
      <c r="J153" s="12"/>
      <c r="K153" s="13"/>
      <c r="L153" s="12"/>
      <c r="M153" s="11"/>
      <c r="N153" s="11"/>
      <c r="O153" s="11"/>
    </row>
    <row r="154" spans="2:15" ht="15.75" customHeight="1">
      <c r="B154" s="11"/>
      <c r="C154" s="11"/>
      <c r="D154" s="11"/>
      <c r="E154" s="11"/>
      <c r="F154" s="11"/>
      <c r="G154" s="11"/>
      <c r="H154" s="11"/>
      <c r="I154" s="12"/>
      <c r="J154" s="12"/>
      <c r="K154" s="13"/>
      <c r="L154" s="12"/>
      <c r="M154" s="11"/>
      <c r="N154" s="11"/>
      <c r="O154" s="11"/>
    </row>
    <row r="155" spans="2:15" ht="15.75" customHeight="1">
      <c r="B155" s="11"/>
      <c r="C155" s="11"/>
      <c r="D155" s="11"/>
      <c r="E155" s="11"/>
      <c r="F155" s="11"/>
      <c r="G155" s="11"/>
      <c r="H155" s="11"/>
      <c r="I155" s="12"/>
      <c r="J155" s="12"/>
      <c r="K155" s="13"/>
      <c r="L155" s="12"/>
      <c r="M155" s="11"/>
      <c r="N155" s="11"/>
      <c r="O155" s="11"/>
    </row>
    <row r="156" spans="2:15" ht="15.75" customHeight="1">
      <c r="B156" s="11"/>
      <c r="C156" s="11"/>
      <c r="D156" s="11"/>
      <c r="E156" s="11"/>
      <c r="F156" s="11"/>
      <c r="G156" s="11"/>
      <c r="H156" s="11"/>
      <c r="I156" s="12"/>
      <c r="J156" s="12"/>
      <c r="K156" s="13"/>
      <c r="L156" s="12"/>
      <c r="M156" s="11"/>
      <c r="N156" s="11"/>
      <c r="O156" s="11"/>
    </row>
    <row r="157" spans="2:15" ht="15.75" customHeight="1">
      <c r="B157" s="11"/>
      <c r="C157" s="11"/>
      <c r="D157" s="11"/>
      <c r="E157" s="11"/>
      <c r="F157" s="11"/>
      <c r="G157" s="11"/>
      <c r="H157" s="11"/>
      <c r="I157" s="12"/>
      <c r="J157" s="12"/>
      <c r="K157" s="13"/>
      <c r="L157" s="12"/>
      <c r="M157" s="11"/>
      <c r="N157" s="11"/>
      <c r="O157" s="11"/>
    </row>
    <row r="158" spans="2:15" ht="15.75" customHeight="1">
      <c r="B158" s="11"/>
      <c r="C158" s="11"/>
      <c r="D158" s="11"/>
      <c r="E158" s="11"/>
      <c r="F158" s="11"/>
      <c r="G158" s="11"/>
      <c r="H158" s="11"/>
      <c r="I158" s="12"/>
      <c r="J158" s="12"/>
      <c r="K158" s="13"/>
      <c r="L158" s="12"/>
      <c r="M158" s="11"/>
      <c r="N158" s="11"/>
      <c r="O158" s="11"/>
    </row>
    <row r="159" spans="2:15" ht="15.75" customHeight="1">
      <c r="B159" s="11"/>
      <c r="C159" s="11"/>
      <c r="D159" s="11"/>
      <c r="E159" s="11"/>
      <c r="F159" s="11"/>
      <c r="G159" s="11"/>
      <c r="H159" s="11"/>
      <c r="I159" s="12"/>
      <c r="J159" s="12"/>
      <c r="K159" s="13"/>
      <c r="L159" s="12"/>
      <c r="M159" s="11"/>
      <c r="N159" s="11"/>
      <c r="O159" s="11"/>
    </row>
    <row r="160" spans="2:15" ht="15.75" customHeight="1">
      <c r="B160" s="11"/>
      <c r="C160" s="11"/>
      <c r="D160" s="11"/>
      <c r="E160" s="11"/>
      <c r="F160" s="11"/>
      <c r="G160" s="11"/>
      <c r="H160" s="11"/>
      <c r="I160" s="12"/>
      <c r="J160" s="12"/>
      <c r="K160" s="13"/>
      <c r="L160" s="12"/>
      <c r="M160" s="11"/>
      <c r="N160" s="11"/>
      <c r="O160" s="11"/>
    </row>
    <row r="161" spans="2:15" ht="15.75" customHeight="1">
      <c r="B161" s="11"/>
      <c r="C161" s="11"/>
      <c r="D161" s="11"/>
      <c r="E161" s="11"/>
      <c r="F161" s="11"/>
      <c r="G161" s="11"/>
      <c r="H161" s="11"/>
      <c r="I161" s="12"/>
      <c r="J161" s="12"/>
      <c r="K161" s="13"/>
      <c r="L161" s="12"/>
      <c r="M161" s="11"/>
      <c r="N161" s="11"/>
      <c r="O161" s="11"/>
    </row>
    <row r="162" spans="2:15" ht="15.75" customHeight="1">
      <c r="B162" s="11"/>
      <c r="C162" s="11"/>
      <c r="D162" s="11"/>
      <c r="E162" s="11"/>
      <c r="F162" s="11"/>
      <c r="G162" s="11"/>
      <c r="H162" s="11"/>
      <c r="I162" s="12"/>
      <c r="J162" s="12"/>
      <c r="K162" s="13"/>
      <c r="L162" s="12"/>
      <c r="M162" s="11"/>
      <c r="N162" s="11"/>
      <c r="O162" s="11"/>
    </row>
    <row r="163" spans="2:15" ht="15.75" customHeight="1">
      <c r="B163" s="11"/>
      <c r="C163" s="11"/>
      <c r="D163" s="11"/>
      <c r="E163" s="11"/>
      <c r="F163" s="11"/>
      <c r="G163" s="11"/>
      <c r="H163" s="11"/>
      <c r="I163" s="12"/>
      <c r="J163" s="12"/>
      <c r="K163" s="13"/>
      <c r="L163" s="12"/>
      <c r="M163" s="11"/>
      <c r="N163" s="11"/>
      <c r="O163" s="11"/>
    </row>
    <row r="164" spans="2:15" ht="15.75" customHeight="1">
      <c r="B164" s="11"/>
      <c r="C164" s="11"/>
      <c r="D164" s="11"/>
      <c r="E164" s="11"/>
      <c r="F164" s="11"/>
      <c r="G164" s="11"/>
      <c r="H164" s="11"/>
      <c r="I164" s="12"/>
      <c r="J164" s="12"/>
      <c r="K164" s="13"/>
      <c r="L164" s="12"/>
      <c r="M164" s="11"/>
      <c r="N164" s="11"/>
      <c r="O164" s="11"/>
    </row>
    <row r="165" spans="2:15" ht="15.75" customHeight="1">
      <c r="B165" s="11"/>
      <c r="C165" s="11"/>
      <c r="D165" s="11"/>
      <c r="E165" s="11"/>
      <c r="F165" s="11"/>
      <c r="G165" s="11"/>
      <c r="H165" s="11"/>
      <c r="I165" s="12"/>
      <c r="J165" s="12"/>
      <c r="K165" s="13"/>
      <c r="L165" s="12"/>
      <c r="M165" s="11"/>
      <c r="N165" s="11"/>
      <c r="O165" s="11"/>
    </row>
    <row r="166" spans="2:15" ht="15.75" customHeight="1">
      <c r="B166" s="11"/>
      <c r="C166" s="11"/>
      <c r="D166" s="11"/>
      <c r="E166" s="11"/>
      <c r="F166" s="11"/>
      <c r="G166" s="11"/>
      <c r="H166" s="11"/>
      <c r="I166" s="12"/>
      <c r="J166" s="12"/>
      <c r="K166" s="13"/>
      <c r="L166" s="12"/>
      <c r="M166" s="11"/>
      <c r="N166" s="11"/>
      <c r="O166" s="11"/>
    </row>
    <row r="167" spans="2:15" ht="15.75" customHeight="1">
      <c r="B167" s="11"/>
      <c r="C167" s="11"/>
      <c r="D167" s="11"/>
      <c r="E167" s="11"/>
      <c r="F167" s="11"/>
      <c r="G167" s="11"/>
      <c r="H167" s="11"/>
      <c r="I167" s="12"/>
      <c r="J167" s="12"/>
      <c r="K167" s="13"/>
      <c r="L167" s="12"/>
      <c r="M167" s="11"/>
      <c r="N167" s="11"/>
      <c r="O167" s="11"/>
    </row>
    <row r="168" spans="2:15" ht="15.75" customHeight="1">
      <c r="B168" s="11"/>
      <c r="C168" s="11"/>
      <c r="D168" s="11"/>
      <c r="E168" s="11"/>
      <c r="F168" s="11"/>
      <c r="G168" s="11"/>
      <c r="H168" s="11"/>
      <c r="I168" s="12"/>
      <c r="J168" s="12"/>
      <c r="K168" s="13"/>
      <c r="L168" s="12"/>
      <c r="M168" s="11"/>
      <c r="N168" s="11"/>
      <c r="O168" s="11"/>
    </row>
    <row r="169" spans="2:15" ht="15.75" customHeight="1">
      <c r="B169" s="11"/>
      <c r="C169" s="11"/>
      <c r="D169" s="11"/>
      <c r="E169" s="11"/>
      <c r="F169" s="11"/>
      <c r="G169" s="11"/>
      <c r="H169" s="11"/>
      <c r="I169" s="12"/>
      <c r="J169" s="12"/>
      <c r="K169" s="13"/>
      <c r="L169" s="12"/>
      <c r="M169" s="11"/>
      <c r="N169" s="11"/>
      <c r="O169" s="11"/>
    </row>
    <row r="170" spans="2:15" ht="15.75" customHeight="1">
      <c r="B170" s="11"/>
      <c r="C170" s="11"/>
      <c r="D170" s="11"/>
      <c r="E170" s="11"/>
      <c r="F170" s="11"/>
      <c r="G170" s="11"/>
      <c r="H170" s="11"/>
      <c r="I170" s="12"/>
      <c r="J170" s="12"/>
      <c r="K170" s="13"/>
      <c r="L170" s="12"/>
      <c r="M170" s="11"/>
      <c r="N170" s="11"/>
      <c r="O170" s="11"/>
    </row>
    <row r="171" spans="2:15" ht="15.75" customHeight="1">
      <c r="B171" s="11"/>
      <c r="C171" s="11"/>
      <c r="D171" s="11"/>
      <c r="E171" s="11"/>
      <c r="F171" s="11"/>
      <c r="G171" s="11"/>
      <c r="H171" s="11"/>
      <c r="I171" s="12"/>
      <c r="J171" s="12"/>
      <c r="K171" s="13"/>
      <c r="L171" s="12"/>
      <c r="M171" s="11"/>
      <c r="N171" s="11"/>
      <c r="O171" s="11"/>
    </row>
    <row r="172" spans="2:15" ht="15.75" customHeight="1">
      <c r="B172" s="11"/>
      <c r="C172" s="11"/>
      <c r="D172" s="11"/>
      <c r="E172" s="11"/>
      <c r="F172" s="11"/>
      <c r="G172" s="11"/>
      <c r="H172" s="11"/>
      <c r="I172" s="12"/>
      <c r="J172" s="12"/>
      <c r="K172" s="13"/>
      <c r="L172" s="12"/>
      <c r="M172" s="11"/>
      <c r="N172" s="11"/>
      <c r="O172" s="11"/>
    </row>
    <row r="173" spans="2:15" ht="15.75" customHeight="1">
      <c r="B173" s="11"/>
      <c r="C173" s="11"/>
      <c r="D173" s="11"/>
      <c r="E173" s="11"/>
      <c r="F173" s="11"/>
      <c r="G173" s="11"/>
      <c r="H173" s="11"/>
      <c r="I173" s="12"/>
      <c r="J173" s="12"/>
      <c r="K173" s="13"/>
      <c r="L173" s="12"/>
      <c r="M173" s="11"/>
      <c r="N173" s="11"/>
      <c r="O173" s="11"/>
    </row>
    <row r="174" spans="2:15" ht="15.75" customHeight="1">
      <c r="B174" s="11"/>
      <c r="C174" s="11"/>
      <c r="D174" s="11"/>
      <c r="E174" s="11"/>
      <c r="F174" s="11"/>
      <c r="G174" s="11"/>
      <c r="H174" s="11"/>
      <c r="I174" s="12"/>
      <c r="J174" s="12"/>
      <c r="K174" s="13"/>
      <c r="L174" s="12"/>
      <c r="M174" s="11"/>
      <c r="N174" s="11"/>
      <c r="O174" s="11"/>
    </row>
    <row r="175" spans="2:15" ht="15.75" customHeight="1">
      <c r="B175" s="11"/>
      <c r="C175" s="11"/>
      <c r="D175" s="11"/>
      <c r="E175" s="11"/>
      <c r="F175" s="11"/>
      <c r="G175" s="11"/>
      <c r="H175" s="11"/>
      <c r="I175" s="12"/>
      <c r="J175" s="12"/>
      <c r="K175" s="13"/>
      <c r="L175" s="12"/>
      <c r="M175" s="11"/>
      <c r="N175" s="11"/>
      <c r="O175" s="11"/>
    </row>
    <row r="176" spans="2:15" ht="15.75" customHeight="1">
      <c r="B176" s="11"/>
      <c r="C176" s="11"/>
      <c r="D176" s="11"/>
      <c r="E176" s="11"/>
      <c r="F176" s="11"/>
      <c r="G176" s="11"/>
      <c r="H176" s="11"/>
      <c r="I176" s="12"/>
      <c r="J176" s="12"/>
      <c r="K176" s="13"/>
      <c r="L176" s="12"/>
      <c r="M176" s="11"/>
      <c r="N176" s="11"/>
      <c r="O176" s="11"/>
    </row>
    <row r="177" spans="2:15" ht="15.75" customHeight="1">
      <c r="B177" s="11"/>
      <c r="C177" s="11"/>
      <c r="D177" s="11"/>
      <c r="E177" s="11"/>
      <c r="F177" s="11"/>
      <c r="G177" s="11"/>
      <c r="H177" s="11"/>
      <c r="I177" s="12"/>
      <c r="J177" s="12"/>
      <c r="K177" s="13"/>
      <c r="L177" s="12"/>
      <c r="M177" s="11"/>
      <c r="N177" s="11"/>
      <c r="O177" s="11"/>
    </row>
    <row r="178" spans="2:15" ht="15.75" customHeight="1">
      <c r="B178" s="11"/>
      <c r="C178" s="11"/>
      <c r="D178" s="11"/>
      <c r="E178" s="11"/>
      <c r="F178" s="11"/>
      <c r="G178" s="11"/>
      <c r="H178" s="11"/>
      <c r="I178" s="12"/>
      <c r="J178" s="12"/>
      <c r="K178" s="13"/>
      <c r="L178" s="12"/>
      <c r="M178" s="11"/>
      <c r="N178" s="11"/>
      <c r="O178" s="11"/>
    </row>
    <row r="179" spans="2:15" ht="15.75" customHeight="1">
      <c r="B179" s="11"/>
      <c r="C179" s="11"/>
      <c r="D179" s="11"/>
      <c r="E179" s="11"/>
      <c r="F179" s="11"/>
      <c r="G179" s="11"/>
      <c r="H179" s="11"/>
      <c r="I179" s="12"/>
      <c r="J179" s="12"/>
      <c r="K179" s="13"/>
      <c r="L179" s="12"/>
      <c r="M179" s="11"/>
      <c r="N179" s="11"/>
      <c r="O179" s="11"/>
    </row>
    <row r="180" spans="2:15" ht="15.75" customHeight="1">
      <c r="B180" s="11"/>
      <c r="C180" s="11"/>
      <c r="D180" s="11"/>
      <c r="E180" s="11"/>
      <c r="F180" s="11"/>
      <c r="G180" s="11"/>
      <c r="H180" s="11"/>
      <c r="I180" s="12"/>
      <c r="J180" s="12"/>
      <c r="K180" s="13"/>
      <c r="L180" s="12"/>
      <c r="M180" s="11"/>
      <c r="N180" s="11"/>
      <c r="O180" s="11"/>
    </row>
    <row r="181" spans="2:15" ht="15.75" customHeight="1">
      <c r="B181" s="11"/>
      <c r="C181" s="11"/>
      <c r="D181" s="11"/>
      <c r="E181" s="11"/>
      <c r="F181" s="11"/>
      <c r="G181" s="11"/>
      <c r="H181" s="11"/>
      <c r="I181" s="12"/>
      <c r="J181" s="12"/>
      <c r="K181" s="13"/>
      <c r="L181" s="12"/>
      <c r="M181" s="11"/>
      <c r="N181" s="11"/>
      <c r="O181" s="11"/>
    </row>
    <row r="182" spans="2:15" ht="15.75" customHeight="1">
      <c r="B182" s="11"/>
      <c r="C182" s="11"/>
      <c r="D182" s="11"/>
      <c r="E182" s="11"/>
      <c r="F182" s="11"/>
      <c r="G182" s="11"/>
      <c r="H182" s="11"/>
      <c r="I182" s="12"/>
      <c r="J182" s="12"/>
      <c r="K182" s="13"/>
      <c r="L182" s="12"/>
      <c r="M182" s="11"/>
      <c r="N182" s="11"/>
      <c r="O182" s="11"/>
    </row>
    <row r="183" spans="2:15" ht="15.75" customHeight="1">
      <c r="B183" s="11"/>
      <c r="C183" s="11"/>
      <c r="D183" s="11"/>
      <c r="E183" s="11"/>
      <c r="F183" s="11"/>
      <c r="G183" s="11"/>
      <c r="H183" s="11"/>
      <c r="I183" s="12"/>
      <c r="J183" s="12"/>
      <c r="K183" s="13"/>
      <c r="L183" s="12"/>
      <c r="M183" s="11"/>
      <c r="N183" s="11"/>
      <c r="O183" s="11"/>
    </row>
    <row r="184" spans="2:15" ht="15.75" customHeight="1">
      <c r="B184" s="11"/>
      <c r="C184" s="11"/>
      <c r="D184" s="11"/>
      <c r="E184" s="11"/>
      <c r="F184" s="11"/>
      <c r="G184" s="11"/>
      <c r="H184" s="11"/>
      <c r="I184" s="12"/>
      <c r="J184" s="12"/>
      <c r="K184" s="13"/>
      <c r="L184" s="12"/>
      <c r="M184" s="11"/>
      <c r="N184" s="11"/>
      <c r="O184" s="11"/>
    </row>
    <row r="185" spans="2:15" ht="15.75" customHeight="1">
      <c r="B185" s="11"/>
      <c r="C185" s="11"/>
      <c r="D185" s="11"/>
      <c r="E185" s="11"/>
      <c r="F185" s="11"/>
      <c r="G185" s="11"/>
      <c r="H185" s="11"/>
      <c r="I185" s="12"/>
      <c r="J185" s="12"/>
      <c r="K185" s="13"/>
      <c r="L185" s="12"/>
      <c r="M185" s="11"/>
      <c r="N185" s="11"/>
      <c r="O185" s="11"/>
    </row>
    <row r="186" spans="2:15" ht="15.75" customHeight="1">
      <c r="B186" s="11"/>
      <c r="C186" s="11"/>
      <c r="D186" s="11"/>
      <c r="E186" s="11"/>
      <c r="F186" s="11"/>
      <c r="G186" s="11"/>
      <c r="H186" s="11"/>
      <c r="I186" s="12"/>
      <c r="J186" s="12"/>
      <c r="K186" s="13"/>
      <c r="L186" s="12"/>
      <c r="M186" s="11"/>
      <c r="N186" s="11"/>
      <c r="O186" s="11"/>
    </row>
    <row r="187" spans="2:15" ht="15.75" customHeight="1">
      <c r="B187" s="11"/>
      <c r="C187" s="11"/>
      <c r="D187" s="11"/>
      <c r="E187" s="11"/>
      <c r="F187" s="11"/>
      <c r="G187" s="11"/>
      <c r="H187" s="11"/>
      <c r="I187" s="12"/>
      <c r="J187" s="12"/>
      <c r="K187" s="13"/>
      <c r="L187" s="12"/>
      <c r="M187" s="11"/>
      <c r="N187" s="11"/>
      <c r="O187" s="11"/>
    </row>
    <row r="188" spans="2:15" ht="15.75" customHeight="1">
      <c r="B188" s="11"/>
      <c r="C188" s="11"/>
      <c r="D188" s="11"/>
      <c r="E188" s="11"/>
      <c r="F188" s="11"/>
      <c r="G188" s="11"/>
      <c r="H188" s="11"/>
      <c r="I188" s="12"/>
      <c r="J188" s="12"/>
      <c r="K188" s="13"/>
      <c r="L188" s="12"/>
      <c r="M188" s="11"/>
      <c r="N188" s="11"/>
      <c r="O188" s="11"/>
    </row>
    <row r="189" spans="2:15" ht="15.75" customHeight="1">
      <c r="B189" s="11"/>
      <c r="C189" s="11"/>
      <c r="D189" s="11"/>
      <c r="E189" s="11"/>
      <c r="F189" s="11"/>
      <c r="G189" s="11"/>
      <c r="H189" s="11"/>
      <c r="I189" s="12"/>
      <c r="J189" s="12"/>
      <c r="K189" s="13"/>
      <c r="L189" s="12"/>
      <c r="M189" s="11"/>
      <c r="N189" s="11"/>
      <c r="O189" s="11"/>
    </row>
    <row r="190" spans="2:15" ht="15.75" customHeight="1">
      <c r="B190" s="11"/>
      <c r="C190" s="11"/>
      <c r="D190" s="11"/>
      <c r="E190" s="11"/>
      <c r="F190" s="11"/>
      <c r="G190" s="11"/>
      <c r="H190" s="11"/>
      <c r="I190" s="12"/>
      <c r="J190" s="12"/>
      <c r="K190" s="13"/>
      <c r="L190" s="12"/>
      <c r="M190" s="11"/>
      <c r="N190" s="11"/>
      <c r="O190" s="11"/>
    </row>
    <row r="191" spans="2:15" ht="15.75" customHeight="1">
      <c r="B191" s="11"/>
      <c r="C191" s="11"/>
      <c r="D191" s="11"/>
      <c r="E191" s="11"/>
      <c r="F191" s="11"/>
      <c r="G191" s="11"/>
      <c r="H191" s="11"/>
      <c r="I191" s="12"/>
      <c r="J191" s="12"/>
      <c r="K191" s="13"/>
      <c r="L191" s="12"/>
      <c r="M191" s="11"/>
      <c r="N191" s="11"/>
      <c r="O191" s="11"/>
    </row>
    <row r="192" spans="2:15" ht="15.75" customHeight="1">
      <c r="B192" s="11"/>
      <c r="C192" s="11"/>
      <c r="D192" s="11"/>
      <c r="E192" s="11"/>
      <c r="F192" s="11"/>
      <c r="G192" s="11"/>
      <c r="H192" s="11"/>
      <c r="I192" s="12"/>
      <c r="J192" s="12"/>
      <c r="K192" s="13"/>
      <c r="L192" s="12"/>
      <c r="M192" s="11"/>
      <c r="N192" s="11"/>
      <c r="O192" s="11"/>
    </row>
    <row r="193" spans="2:15" ht="15.75" customHeight="1">
      <c r="B193" s="11"/>
      <c r="C193" s="11"/>
      <c r="D193" s="11"/>
      <c r="E193" s="11"/>
      <c r="F193" s="11"/>
      <c r="G193" s="11"/>
      <c r="H193" s="11"/>
      <c r="I193" s="12"/>
      <c r="J193" s="12"/>
      <c r="K193" s="13"/>
      <c r="L193" s="12"/>
      <c r="M193" s="11"/>
      <c r="N193" s="11"/>
      <c r="O193" s="11"/>
    </row>
    <row r="194" spans="2:15" ht="15.75" customHeight="1">
      <c r="B194" s="11"/>
      <c r="C194" s="11"/>
      <c r="D194" s="11"/>
      <c r="E194" s="11"/>
      <c r="F194" s="11"/>
      <c r="G194" s="11"/>
      <c r="H194" s="11"/>
      <c r="I194" s="12"/>
      <c r="J194" s="12"/>
      <c r="K194" s="13"/>
      <c r="L194" s="12"/>
      <c r="M194" s="11"/>
      <c r="N194" s="11"/>
      <c r="O194" s="11"/>
    </row>
    <row r="195" spans="2:15" ht="15.75" customHeight="1">
      <c r="B195" s="11"/>
      <c r="C195" s="11"/>
      <c r="D195" s="11"/>
      <c r="E195" s="11"/>
      <c r="F195" s="11"/>
      <c r="G195" s="11"/>
      <c r="H195" s="11"/>
      <c r="I195" s="12"/>
      <c r="J195" s="12"/>
      <c r="K195" s="13"/>
      <c r="L195" s="12"/>
      <c r="M195" s="11"/>
      <c r="N195" s="11"/>
      <c r="O195" s="11"/>
    </row>
    <row r="196" spans="2:15" ht="15.75" customHeight="1">
      <c r="B196" s="11"/>
      <c r="C196" s="11"/>
      <c r="D196" s="11"/>
      <c r="E196" s="11"/>
      <c r="F196" s="11"/>
      <c r="G196" s="11"/>
      <c r="H196" s="11"/>
      <c r="I196" s="12"/>
      <c r="J196" s="12"/>
      <c r="K196" s="13"/>
      <c r="L196" s="12"/>
      <c r="M196" s="11"/>
      <c r="N196" s="11"/>
      <c r="O196" s="11"/>
    </row>
    <row r="197" spans="2:15" ht="15.75" customHeight="1">
      <c r="B197" s="11"/>
      <c r="C197" s="11"/>
      <c r="D197" s="11"/>
      <c r="E197" s="11"/>
      <c r="F197" s="11"/>
      <c r="G197" s="11"/>
      <c r="H197" s="11"/>
      <c r="I197" s="12"/>
      <c r="J197" s="12"/>
      <c r="K197" s="13"/>
      <c r="L197" s="12"/>
      <c r="M197" s="11"/>
      <c r="N197" s="11"/>
      <c r="O197" s="11"/>
    </row>
    <row r="198" spans="2:15" ht="15.75" customHeight="1">
      <c r="B198" s="11"/>
      <c r="C198" s="11"/>
      <c r="D198" s="11"/>
      <c r="E198" s="11"/>
      <c r="F198" s="11"/>
      <c r="G198" s="11"/>
      <c r="H198" s="11"/>
      <c r="I198" s="12"/>
      <c r="J198" s="12"/>
      <c r="K198" s="13"/>
      <c r="L198" s="12"/>
      <c r="M198" s="11"/>
      <c r="N198" s="11"/>
      <c r="O198" s="11"/>
    </row>
    <row r="199" spans="2:15" ht="15.75" customHeight="1">
      <c r="B199" s="11"/>
      <c r="C199" s="11"/>
      <c r="D199" s="11"/>
      <c r="E199" s="11"/>
      <c r="F199" s="11"/>
      <c r="G199" s="11"/>
      <c r="H199" s="11"/>
      <c r="I199" s="12"/>
      <c r="J199" s="12"/>
      <c r="K199" s="13"/>
      <c r="L199" s="12"/>
      <c r="M199" s="11"/>
      <c r="N199" s="11"/>
      <c r="O199" s="11"/>
    </row>
    <row r="200" spans="2:15" ht="15.75" customHeight="1">
      <c r="B200" s="11"/>
      <c r="C200" s="11"/>
      <c r="D200" s="11"/>
      <c r="E200" s="11"/>
      <c r="F200" s="11"/>
      <c r="G200" s="11"/>
      <c r="H200" s="11"/>
      <c r="I200" s="12"/>
      <c r="J200" s="12"/>
      <c r="K200" s="13"/>
      <c r="L200" s="12"/>
      <c r="M200" s="11"/>
      <c r="N200" s="11"/>
      <c r="O200" s="11"/>
    </row>
    <row r="201" spans="2:15" ht="15.75" customHeight="1">
      <c r="B201" s="11"/>
      <c r="C201" s="11"/>
      <c r="D201" s="11"/>
      <c r="E201" s="11"/>
      <c r="F201" s="11"/>
      <c r="G201" s="11"/>
      <c r="H201" s="11"/>
      <c r="I201" s="12"/>
      <c r="J201" s="12"/>
      <c r="K201" s="13"/>
      <c r="L201" s="12"/>
      <c r="M201" s="11"/>
      <c r="N201" s="11"/>
      <c r="O201" s="11"/>
    </row>
    <row r="202" spans="2:15" ht="15.75" customHeight="1">
      <c r="B202" s="11"/>
      <c r="C202" s="11"/>
      <c r="D202" s="11"/>
      <c r="E202" s="11"/>
      <c r="F202" s="11"/>
      <c r="G202" s="11"/>
      <c r="H202" s="11"/>
      <c r="I202" s="12"/>
      <c r="J202" s="12"/>
      <c r="K202" s="13"/>
      <c r="L202" s="12"/>
      <c r="M202" s="11"/>
      <c r="N202" s="11"/>
      <c r="O202" s="11"/>
    </row>
    <row r="203" spans="2:15" ht="15.75" customHeight="1">
      <c r="B203" s="11"/>
      <c r="C203" s="11"/>
      <c r="D203" s="11"/>
      <c r="E203" s="11"/>
      <c r="F203" s="11"/>
      <c r="G203" s="11"/>
      <c r="H203" s="11"/>
      <c r="I203" s="12"/>
      <c r="J203" s="12"/>
      <c r="K203" s="13"/>
      <c r="L203" s="12"/>
      <c r="M203" s="11"/>
      <c r="N203" s="11"/>
      <c r="O203" s="11"/>
    </row>
    <row r="204" spans="2:15" ht="15.75" customHeight="1">
      <c r="B204" s="11"/>
      <c r="C204" s="11"/>
      <c r="D204" s="11"/>
      <c r="E204" s="11"/>
      <c r="F204" s="11"/>
      <c r="G204" s="11"/>
      <c r="H204" s="11"/>
      <c r="I204" s="12"/>
      <c r="J204" s="12"/>
      <c r="K204" s="13"/>
      <c r="L204" s="12"/>
      <c r="M204" s="11"/>
      <c r="N204" s="11"/>
      <c r="O204" s="11"/>
    </row>
    <row r="205" spans="2:15" ht="15.75" customHeight="1">
      <c r="B205" s="11"/>
      <c r="C205" s="11"/>
      <c r="D205" s="11"/>
      <c r="E205" s="11"/>
      <c r="F205" s="11"/>
      <c r="G205" s="11"/>
      <c r="H205" s="11"/>
      <c r="I205" s="12"/>
      <c r="J205" s="12"/>
      <c r="K205" s="13"/>
      <c r="L205" s="12"/>
      <c r="M205" s="11"/>
      <c r="N205" s="11"/>
      <c r="O205" s="11"/>
    </row>
    <row r="206" spans="2:15" ht="15.75" customHeight="1">
      <c r="B206" s="11"/>
      <c r="C206" s="11"/>
      <c r="D206" s="11"/>
      <c r="E206" s="11"/>
      <c r="F206" s="11"/>
      <c r="G206" s="11"/>
      <c r="H206" s="11"/>
      <c r="I206" s="12"/>
      <c r="J206" s="12"/>
      <c r="K206" s="13"/>
      <c r="L206" s="12"/>
      <c r="M206" s="11"/>
      <c r="N206" s="11"/>
      <c r="O206" s="11"/>
    </row>
    <row r="207" spans="2:15" ht="15.75" customHeight="1">
      <c r="B207" s="11"/>
      <c r="C207" s="11"/>
      <c r="D207" s="11"/>
      <c r="E207" s="11"/>
      <c r="F207" s="11"/>
      <c r="G207" s="11"/>
      <c r="H207" s="11"/>
      <c r="I207" s="12"/>
      <c r="J207" s="12"/>
      <c r="K207" s="13"/>
      <c r="L207" s="12"/>
      <c r="M207" s="11"/>
      <c r="N207" s="11"/>
      <c r="O207" s="11"/>
    </row>
    <row r="208" spans="2:15" ht="15.75" customHeight="1">
      <c r="B208" s="11"/>
      <c r="C208" s="11"/>
      <c r="D208" s="11"/>
      <c r="E208" s="11"/>
      <c r="F208" s="11"/>
      <c r="G208" s="11"/>
      <c r="H208" s="11"/>
      <c r="I208" s="12"/>
      <c r="J208" s="12"/>
      <c r="K208" s="13"/>
      <c r="L208" s="12"/>
      <c r="M208" s="11"/>
      <c r="N208" s="11"/>
      <c r="O208" s="11"/>
    </row>
    <row r="209" spans="2:15" ht="15.75" customHeight="1">
      <c r="B209" s="11"/>
      <c r="C209" s="11"/>
      <c r="D209" s="11"/>
      <c r="E209" s="11"/>
      <c r="F209" s="11"/>
      <c r="G209" s="11"/>
      <c r="H209" s="11"/>
      <c r="I209" s="12"/>
      <c r="J209" s="12"/>
      <c r="K209" s="13"/>
      <c r="L209" s="12"/>
      <c r="M209" s="11"/>
      <c r="N209" s="11"/>
      <c r="O209" s="11"/>
    </row>
    <row r="210" spans="2:15" ht="15.75" customHeight="1">
      <c r="B210" s="11"/>
      <c r="C210" s="11"/>
      <c r="D210" s="11"/>
      <c r="E210" s="11"/>
      <c r="F210" s="11"/>
      <c r="G210" s="11"/>
      <c r="H210" s="11"/>
      <c r="I210" s="12"/>
      <c r="J210" s="12"/>
      <c r="K210" s="13"/>
      <c r="L210" s="12"/>
      <c r="M210" s="11"/>
      <c r="N210" s="11"/>
      <c r="O210" s="11"/>
    </row>
    <row r="211" spans="2:15" ht="15.75" customHeight="1">
      <c r="B211" s="11"/>
      <c r="C211" s="11"/>
      <c r="D211" s="11"/>
      <c r="E211" s="11"/>
      <c r="F211" s="11"/>
      <c r="G211" s="11"/>
      <c r="H211" s="11"/>
      <c r="I211" s="12"/>
      <c r="J211" s="12"/>
      <c r="K211" s="13"/>
      <c r="L211" s="12"/>
      <c r="M211" s="11"/>
      <c r="N211" s="11"/>
      <c r="O211" s="11"/>
    </row>
    <row r="212" spans="2:15" ht="15.75" customHeight="1">
      <c r="B212" s="11"/>
      <c r="C212" s="11"/>
      <c r="D212" s="11"/>
      <c r="E212" s="11"/>
      <c r="F212" s="11"/>
      <c r="G212" s="11"/>
      <c r="H212" s="11"/>
      <c r="I212" s="12"/>
      <c r="J212" s="12"/>
      <c r="K212" s="13"/>
      <c r="L212" s="12"/>
      <c r="M212" s="11"/>
      <c r="N212" s="11"/>
      <c r="O212" s="11"/>
    </row>
    <row r="213" spans="2:15" ht="15.75" customHeight="1">
      <c r="B213" s="11"/>
      <c r="C213" s="11"/>
      <c r="D213" s="11"/>
      <c r="E213" s="11"/>
      <c r="F213" s="11"/>
      <c r="G213" s="11"/>
      <c r="H213" s="11"/>
      <c r="I213" s="12"/>
      <c r="J213" s="12"/>
      <c r="K213" s="13"/>
      <c r="L213" s="12"/>
      <c r="M213" s="11"/>
      <c r="N213" s="11"/>
      <c r="O213" s="11"/>
    </row>
    <row r="214" spans="2:15" ht="15.75" customHeight="1">
      <c r="B214" s="11"/>
      <c r="C214" s="11"/>
      <c r="D214" s="11"/>
      <c r="E214" s="11"/>
      <c r="F214" s="11"/>
      <c r="G214" s="11"/>
      <c r="H214" s="11"/>
      <c r="I214" s="12"/>
      <c r="J214" s="12"/>
      <c r="K214" s="13"/>
      <c r="L214" s="12"/>
      <c r="M214" s="11"/>
      <c r="N214" s="11"/>
      <c r="O214" s="11"/>
    </row>
    <row r="215" spans="2:15" ht="15.75" customHeight="1">
      <c r="B215" s="11"/>
      <c r="C215" s="11"/>
      <c r="D215" s="11"/>
      <c r="E215" s="11"/>
      <c r="F215" s="11"/>
      <c r="G215" s="11"/>
      <c r="H215" s="11"/>
      <c r="I215" s="12"/>
      <c r="J215" s="12"/>
      <c r="K215" s="13"/>
      <c r="L215" s="12"/>
      <c r="M215" s="11"/>
      <c r="N215" s="11"/>
      <c r="O215" s="11"/>
    </row>
    <row r="216" spans="2:15" ht="15.75" customHeight="1">
      <c r="B216" s="11"/>
      <c r="C216" s="11"/>
      <c r="D216" s="11"/>
      <c r="E216" s="11"/>
      <c r="F216" s="11"/>
      <c r="G216" s="11"/>
      <c r="H216" s="11"/>
      <c r="I216" s="12"/>
      <c r="J216" s="12"/>
      <c r="K216" s="13"/>
      <c r="L216" s="12"/>
      <c r="M216" s="11"/>
      <c r="N216" s="11"/>
      <c r="O216" s="11"/>
    </row>
    <row r="217" spans="2:15" ht="15.75" customHeight="1">
      <c r="B217" s="11"/>
      <c r="C217" s="11"/>
      <c r="D217" s="11"/>
      <c r="E217" s="11"/>
      <c r="F217" s="11"/>
      <c r="G217" s="11"/>
      <c r="H217" s="11"/>
      <c r="I217" s="12"/>
      <c r="J217" s="12"/>
      <c r="K217" s="13"/>
      <c r="L217" s="12"/>
      <c r="M217" s="11"/>
      <c r="N217" s="11"/>
      <c r="O217" s="11"/>
    </row>
    <row r="218" spans="2:15" ht="15.75" customHeight="1">
      <c r="B218" s="11"/>
      <c r="C218" s="11"/>
      <c r="D218" s="11"/>
      <c r="E218" s="11"/>
      <c r="F218" s="11"/>
      <c r="G218" s="11"/>
      <c r="H218" s="11"/>
      <c r="I218" s="12"/>
      <c r="J218" s="12"/>
      <c r="K218" s="13"/>
      <c r="L218" s="12"/>
      <c r="M218" s="11"/>
      <c r="N218" s="11"/>
      <c r="O218" s="11"/>
    </row>
    <row r="219" spans="2:15" ht="15.75" customHeight="1">
      <c r="B219" s="11"/>
      <c r="C219" s="11"/>
      <c r="D219" s="11"/>
      <c r="E219" s="11"/>
      <c r="F219" s="11"/>
      <c r="G219" s="11"/>
      <c r="H219" s="11"/>
      <c r="I219" s="12"/>
      <c r="J219" s="12"/>
      <c r="K219" s="13"/>
      <c r="L219" s="12"/>
      <c r="M219" s="11"/>
      <c r="N219" s="11"/>
      <c r="O219" s="11"/>
    </row>
    <row r="220" spans="2:15" ht="15.75" customHeight="1">
      <c r="B220" s="11"/>
      <c r="C220" s="11"/>
      <c r="D220" s="11"/>
      <c r="E220" s="11"/>
      <c r="F220" s="11"/>
      <c r="G220" s="11"/>
      <c r="H220" s="11"/>
      <c r="I220" s="12"/>
      <c r="J220" s="12"/>
      <c r="K220" s="13"/>
      <c r="L220" s="12"/>
      <c r="M220" s="11"/>
      <c r="N220" s="11"/>
      <c r="O220" s="11"/>
    </row>
    <row r="221" spans="2:15" ht="15.75" customHeight="1">
      <c r="B221" s="11"/>
      <c r="C221" s="11"/>
      <c r="D221" s="11"/>
      <c r="E221" s="11"/>
      <c r="F221" s="11"/>
      <c r="G221" s="11"/>
      <c r="H221" s="11"/>
      <c r="I221" s="12"/>
      <c r="J221" s="12"/>
      <c r="K221" s="13"/>
      <c r="L221" s="12"/>
      <c r="M221" s="11"/>
      <c r="N221" s="11"/>
      <c r="O221" s="11"/>
    </row>
    <row r="222" spans="2:15" ht="15.75" customHeight="1">
      <c r="B222" s="11"/>
      <c r="C222" s="11"/>
      <c r="D222" s="11"/>
      <c r="E222" s="11"/>
      <c r="F222" s="11"/>
      <c r="G222" s="11"/>
      <c r="H222" s="11"/>
      <c r="I222" s="12"/>
      <c r="J222" s="12"/>
      <c r="K222" s="13"/>
      <c r="L222" s="12"/>
      <c r="M222" s="11"/>
      <c r="N222" s="11"/>
      <c r="O222" s="11"/>
    </row>
    <row r="223" spans="2:15" ht="15.75" customHeight="1">
      <c r="B223" s="11"/>
      <c r="C223" s="11"/>
      <c r="D223" s="11"/>
      <c r="E223" s="11"/>
      <c r="F223" s="11"/>
      <c r="G223" s="11"/>
      <c r="H223" s="11"/>
      <c r="I223" s="12"/>
      <c r="J223" s="12"/>
      <c r="K223" s="13"/>
      <c r="L223" s="12"/>
      <c r="M223" s="11"/>
      <c r="N223" s="11"/>
      <c r="O223" s="11"/>
    </row>
    <row r="224" spans="2:15" ht="15.75" customHeight="1">
      <c r="B224" s="11"/>
      <c r="C224" s="11"/>
      <c r="D224" s="11"/>
      <c r="E224" s="11"/>
      <c r="F224" s="11"/>
      <c r="G224" s="11"/>
      <c r="H224" s="11"/>
      <c r="I224" s="12"/>
      <c r="J224" s="12"/>
      <c r="K224" s="13"/>
      <c r="L224" s="12"/>
      <c r="M224" s="11"/>
      <c r="N224" s="11"/>
      <c r="O224" s="11"/>
    </row>
    <row r="225" spans="2:15" ht="15.75" customHeight="1">
      <c r="B225" s="11"/>
      <c r="C225" s="11"/>
      <c r="D225" s="11"/>
      <c r="E225" s="11"/>
      <c r="F225" s="11"/>
      <c r="G225" s="11"/>
      <c r="H225" s="11"/>
      <c r="I225" s="12"/>
      <c r="J225" s="12"/>
      <c r="K225" s="13"/>
      <c r="L225" s="12"/>
      <c r="M225" s="11"/>
      <c r="N225" s="11"/>
      <c r="O225" s="11"/>
    </row>
    <row r="226" spans="2:15" ht="15.75" customHeight="1">
      <c r="B226" s="11"/>
      <c r="C226" s="11"/>
      <c r="D226" s="11"/>
      <c r="E226" s="11"/>
      <c r="F226" s="11"/>
      <c r="G226" s="11"/>
      <c r="H226" s="11"/>
      <c r="I226" s="12"/>
      <c r="J226" s="12"/>
      <c r="K226" s="13"/>
      <c r="L226" s="12"/>
      <c r="M226" s="11"/>
      <c r="N226" s="11"/>
      <c r="O226" s="11"/>
    </row>
    <row r="227" spans="2:15" ht="15.75" customHeight="1">
      <c r="B227" s="11"/>
      <c r="C227" s="11"/>
      <c r="D227" s="11"/>
      <c r="E227" s="11"/>
      <c r="F227" s="11"/>
      <c r="G227" s="11"/>
      <c r="H227" s="11"/>
      <c r="I227" s="12"/>
      <c r="J227" s="12"/>
      <c r="K227" s="13"/>
      <c r="L227" s="12"/>
      <c r="M227" s="11"/>
      <c r="N227" s="11"/>
      <c r="O227" s="11"/>
    </row>
    <row r="228" spans="2:15" ht="15.75" customHeight="1">
      <c r="B228" s="11"/>
      <c r="C228" s="11"/>
      <c r="D228" s="11"/>
      <c r="E228" s="11"/>
      <c r="F228" s="11"/>
      <c r="G228" s="11"/>
      <c r="H228" s="11"/>
      <c r="I228" s="12"/>
      <c r="J228" s="12"/>
      <c r="K228" s="13"/>
      <c r="L228" s="12"/>
      <c r="M228" s="11"/>
      <c r="N228" s="11"/>
      <c r="O228" s="11"/>
    </row>
    <row r="229" spans="2:15" ht="15.75" customHeight="1">
      <c r="B229" s="11"/>
      <c r="C229" s="11"/>
      <c r="D229" s="11"/>
      <c r="E229" s="11"/>
      <c r="F229" s="11"/>
      <c r="G229" s="11"/>
      <c r="H229" s="11"/>
      <c r="I229" s="12"/>
      <c r="J229" s="12"/>
      <c r="K229" s="13"/>
      <c r="L229" s="12"/>
      <c r="M229" s="11"/>
      <c r="N229" s="11"/>
      <c r="O229" s="11"/>
    </row>
    <row r="230" spans="2:15" ht="15.75" customHeight="1">
      <c r="B230" s="11"/>
      <c r="C230" s="11"/>
      <c r="D230" s="11"/>
      <c r="E230" s="11"/>
      <c r="F230" s="11"/>
      <c r="G230" s="11"/>
      <c r="H230" s="11"/>
      <c r="I230" s="12"/>
      <c r="J230" s="12"/>
      <c r="K230" s="13"/>
      <c r="L230" s="12"/>
      <c r="M230" s="11"/>
      <c r="N230" s="11"/>
      <c r="O230" s="11"/>
    </row>
    <row r="231" spans="2:15" ht="15.75" customHeight="1">
      <c r="B231" s="11"/>
      <c r="C231" s="11"/>
      <c r="D231" s="11"/>
      <c r="E231" s="11"/>
      <c r="F231" s="11"/>
      <c r="G231" s="11"/>
      <c r="H231" s="11"/>
      <c r="I231" s="12"/>
      <c r="J231" s="12"/>
      <c r="K231" s="13"/>
      <c r="L231" s="12"/>
      <c r="M231" s="11"/>
      <c r="N231" s="11"/>
      <c r="O231" s="11"/>
    </row>
    <row r="232" spans="2:15" ht="15.75" customHeight="1">
      <c r="B232" s="11"/>
      <c r="C232" s="11"/>
      <c r="D232" s="11"/>
      <c r="E232" s="11"/>
      <c r="F232" s="11"/>
      <c r="G232" s="11"/>
      <c r="H232" s="11"/>
      <c r="I232" s="12"/>
      <c r="J232" s="12"/>
      <c r="K232" s="13"/>
      <c r="L232" s="12"/>
      <c r="M232" s="11"/>
      <c r="N232" s="11"/>
      <c r="O232" s="11"/>
    </row>
    <row r="233" spans="2:15" ht="15.75" customHeight="1">
      <c r="B233" s="11"/>
      <c r="C233" s="11"/>
      <c r="D233" s="11"/>
      <c r="E233" s="11"/>
      <c r="F233" s="11"/>
      <c r="G233" s="11"/>
      <c r="H233" s="11"/>
      <c r="I233" s="12"/>
      <c r="J233" s="12"/>
      <c r="K233" s="13"/>
      <c r="L233" s="12"/>
      <c r="M233" s="11"/>
      <c r="N233" s="11"/>
      <c r="O233" s="11"/>
    </row>
    <row r="234" spans="2:15" ht="15.75" customHeight="1">
      <c r="B234" s="11"/>
      <c r="C234" s="11"/>
      <c r="D234" s="11"/>
      <c r="E234" s="11"/>
      <c r="F234" s="11"/>
      <c r="G234" s="11"/>
      <c r="H234" s="11"/>
      <c r="I234" s="12"/>
      <c r="J234" s="12"/>
      <c r="K234" s="13"/>
      <c r="L234" s="12"/>
      <c r="M234" s="11"/>
      <c r="N234" s="11"/>
      <c r="O234" s="11"/>
    </row>
    <row r="235" spans="2:15" ht="15.75" customHeight="1">
      <c r="B235" s="11"/>
      <c r="C235" s="11"/>
      <c r="D235" s="11"/>
      <c r="E235" s="11"/>
      <c r="F235" s="11"/>
      <c r="G235" s="11"/>
      <c r="H235" s="11"/>
      <c r="I235" s="12"/>
      <c r="J235" s="12"/>
      <c r="K235" s="13"/>
      <c r="L235" s="12"/>
      <c r="M235" s="11"/>
      <c r="N235" s="11"/>
      <c r="O235" s="11"/>
    </row>
    <row r="236" spans="2:15" ht="15.75" customHeight="1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2:15" ht="15.75" customHeight="1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2:15" ht="15.75" customHeight="1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spans="2:15" ht="15.75" customHeight="1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spans="2:15" ht="15.75" customHeight="1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2:15" ht="15.75" customHeight="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spans="2:15" ht="15.75" customHeight="1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2:15" ht="15.75" customHeight="1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spans="2:15" ht="15.75" customHeight="1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2:15" ht="15.75" customHeight="1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spans="2:15" ht="15.75" customHeight="1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spans="2:15" ht="15.75" customHeight="1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spans="2:15" ht="15.75" customHeight="1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spans="2:15" ht="15.75" customHeight="1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pans="2:15" ht="15.75" customHeight="1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spans="2:15" ht="15.75" customHeight="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spans="2:15" ht="15.75" customHeight="1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spans="2:15" ht="15.75" customHeight="1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spans="2:15" ht="15.75" customHeight="1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pans="2:15" ht="15.75" customHeight="1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spans="2:15" ht="15.75" customHeight="1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spans="2:15" ht="15.75" customHeight="1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spans="2:15" ht="15.75" customHeight="1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spans="2:15" ht="15.75" customHeight="1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spans="2:15" ht="15.75" customHeight="1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spans="2:15" ht="15.75" customHeight="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spans="2:15" ht="15.75" customHeight="1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spans="2:15" ht="15.75" customHeight="1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spans="2:15" ht="15.75" customHeight="1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2:15" ht="15.75" customHeight="1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spans="2:15" ht="15.75" customHeight="1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spans="2:15" ht="15.75" customHeight="1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spans="2:15" ht="15.75" customHeight="1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2:15" ht="15.75" customHeight="1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spans="2:15" ht="15.75" customHeight="1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2:15" ht="15.75" customHeight="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spans="2:15" ht="15.75" customHeight="1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2:15" ht="15.75" customHeight="1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spans="2:15" ht="15.75" customHeight="1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spans="2:15" ht="15.75" customHeight="1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spans="2:15" ht="15.75" customHeight="1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spans="2:15" ht="15.75" customHeight="1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2:15" ht="15.75" customHeight="1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spans="2:15" ht="15.75" customHeight="1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spans="2:15" ht="15.75" customHeight="1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spans="2:15" ht="15.75" customHeight="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spans="2:15" ht="15.75" customHeight="1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spans="2:15" ht="15.75" customHeight="1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spans="2:15" ht="15.75" customHeight="1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spans="2:15" ht="15.75" customHeight="1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spans="2:15" ht="15.75" customHeight="1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spans="2:15" ht="15.75" customHeight="1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spans="2:15" ht="15.75" customHeight="1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spans="2:15" ht="15.75" customHeight="1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spans="2:15" ht="15.75" customHeight="1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spans="2:15" ht="15.75" customHeight="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spans="2:15" ht="15.75" customHeight="1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spans="2:15" ht="15.75" customHeight="1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spans="2:15" ht="15.75" customHeight="1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spans="2:15" ht="15.75" customHeight="1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spans="2:15" ht="15.75" customHeight="1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spans="2:15" ht="15.75" customHeight="1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spans="2:15" ht="15.75" customHeight="1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spans="2:15" ht="15.75" customHeight="1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spans="2:15" ht="15.75" customHeight="1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spans="2:15" ht="15.75" customHeight="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spans="2:15" ht="15.75" customHeight="1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spans="2:15" ht="15.75" customHeight="1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spans="2:15" ht="15.75" customHeight="1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spans="2:15" ht="15.75" customHeight="1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spans="2:15" ht="15.75" customHeight="1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spans="2:15" ht="15.75" customHeight="1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spans="2:15" ht="15.75" customHeight="1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spans="2:15" ht="15.75" customHeight="1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spans="2:15" ht="15.75" customHeight="1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spans="2:15" ht="15.75" customHeight="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spans="2:15" ht="15.75" customHeight="1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spans="2:15" ht="15.75" customHeight="1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spans="2:15" ht="15.75" customHeight="1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spans="2:15" ht="15.75" customHeight="1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spans="2:15" ht="15.75" customHeight="1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spans="2:15" ht="15.75" customHeight="1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spans="2:15" ht="15.75" customHeight="1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spans="2:15" ht="15.75" customHeight="1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spans="2:15" ht="15.75" customHeight="1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spans="2:15" ht="15.75" customHeight="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spans="2:15" ht="15.75" customHeight="1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spans="2:15" ht="15.75" customHeight="1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spans="2:15" ht="15.75" customHeight="1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spans="2:15" ht="15.75" customHeight="1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spans="2:15" ht="15.75" customHeight="1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spans="2:15" ht="15.75" customHeight="1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spans="2:15" ht="15.75" customHeight="1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spans="2:15" ht="15.75" customHeight="1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spans="2:15" ht="15.75" customHeight="1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spans="2:15" ht="15.75" customHeight="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spans="2:15" ht="15.75" customHeight="1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spans="2:15" ht="15.75" customHeight="1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spans="2:15" ht="15.75" customHeight="1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spans="2:15" ht="15.75" customHeight="1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spans="2:15" ht="15.75" customHeight="1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spans="2:15" ht="15.75" customHeight="1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spans="2:15" ht="15.75" customHeight="1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spans="2:15" ht="15.75" customHeight="1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spans="2:15" ht="15.75" customHeight="1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spans="2:15" ht="15.75" customHeight="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spans="2:15" ht="15.75" customHeight="1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spans="2:15" ht="15.75" customHeight="1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spans="2:15" ht="15.75" customHeight="1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spans="2:15" ht="15.75" customHeight="1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spans="2:15" ht="15.75" customHeight="1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spans="2:15" ht="15.75" customHeight="1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spans="2:15" ht="15.75" customHeight="1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spans="2:15" ht="15.75" customHeight="1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spans="2:15" ht="15.75" customHeight="1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spans="2:15" ht="15.75" customHeight="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spans="2:15" ht="15.75" customHeight="1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spans="2:15" ht="15.75" customHeight="1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spans="2:15" ht="15.75" customHeight="1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spans="2:15" ht="15.75" customHeight="1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spans="2:15" ht="15.75" customHeight="1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spans="2:15" ht="15.75" customHeight="1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spans="2:15" ht="15.75" customHeight="1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spans="2:15" ht="15.75" customHeight="1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spans="2:15" ht="15.75" customHeight="1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spans="2:15" ht="15.75" customHeight="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spans="2:15" ht="15.75" customHeight="1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 spans="2:15" ht="15.75" customHeight="1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spans="2:15" ht="15.75" customHeight="1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 spans="2:15" ht="15.75" customHeight="1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spans="2:15" ht="15.75" customHeight="1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spans="2:15" ht="15.75" customHeight="1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spans="2:15" ht="15.75" customHeight="1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 spans="2:15" ht="15.75" customHeight="1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spans="2:15" ht="15.75" customHeight="1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 spans="2:15" ht="15.75" customHeight="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spans="2:15" ht="15.75" customHeight="1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spans="2:15" ht="15.75" customHeight="1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spans="2:15" ht="15.75" customHeight="1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spans="2:15" ht="15.75" customHeight="1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 spans="2:15" ht="15.75" customHeight="1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 spans="2:15" ht="15.75" customHeight="1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spans="2:15" ht="15.75" customHeight="1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spans="2:15" ht="15.75" customHeight="1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spans="2:15" ht="15.75" customHeight="1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spans="2:15" ht="15.75" customHeight="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spans="2:15" ht="15.75" customHeight="1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spans="2:15" ht="15.75" customHeight="1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 spans="2:15" ht="15.75" customHeight="1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 spans="2:15" ht="15.75" customHeight="1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spans="2:15" ht="15.75" customHeight="1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 spans="2:15" ht="15.75" customHeight="1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 spans="2:15" ht="15.75" customHeight="1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 spans="2:15" ht="15.75" customHeight="1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spans="2:15" ht="15.75" customHeight="1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 spans="2:15" ht="15.75" customHeight="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 spans="2:15" ht="15.75" customHeight="1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 spans="2:15" ht="15.75" customHeight="1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spans="2:15" ht="15.75" customHeight="1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 spans="2:15" ht="15.75" customHeight="1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 spans="2:15" ht="15.75" customHeight="1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 spans="2:15" ht="15.75" customHeight="1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spans="2:15" ht="15.75" customHeight="1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 spans="2:15" ht="15.75" customHeight="1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 spans="2:15" ht="15.75" customHeight="1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 spans="2:15" ht="15.75" customHeight="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spans="2:15" ht="15.75" customHeight="1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 spans="2:15" ht="15.75" customHeight="1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 spans="2:15" ht="15.75" customHeight="1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 spans="2:15" ht="15.75" customHeight="1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spans="2:15" ht="15.75" customHeight="1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 spans="2:15" ht="15.75" customHeight="1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 spans="2:15" ht="15.75" customHeight="1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</row>
    <row r="409" spans="2:15" ht="15.75" customHeight="1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</row>
    <row r="410" spans="2:15" ht="15.75" customHeight="1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 spans="2:15" ht="15.75" customHeight="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 spans="2:15" ht="15.75" customHeight="1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</row>
    <row r="413" spans="2:15" ht="15.75" customHeight="1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</row>
    <row r="414" spans="2:15" ht="15.75" customHeight="1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</row>
    <row r="415" spans="2:15" ht="15.75" customHeight="1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 spans="2:15" ht="15.75" customHeight="1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</row>
    <row r="417" spans="2:15" ht="15.75" customHeight="1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</row>
    <row r="418" spans="2:15" ht="15.75" customHeight="1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</row>
    <row r="419" spans="2:15" ht="15.75" customHeight="1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 spans="2:15" ht="15.75" customHeight="1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</row>
    <row r="421" spans="2:15" ht="15.75" customHeight="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 spans="2:15" ht="15.75" customHeight="1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</row>
    <row r="423" spans="2:15" ht="15.75" customHeight="1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 spans="2:15" ht="15.75" customHeight="1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</row>
    <row r="425" spans="2:15" ht="15.75" customHeight="1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</row>
    <row r="426" spans="2:15" ht="15.75" customHeight="1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</row>
    <row r="427" spans="2:15" ht="15.75" customHeight="1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 spans="2:15" ht="15.75" customHeight="1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</row>
    <row r="429" spans="2:15" ht="15.75" customHeight="1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</row>
    <row r="430" spans="2:15" ht="15.75" customHeight="1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</row>
    <row r="431" spans="2:15" ht="15.75" customHeight="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 spans="2:15" ht="15.75" customHeight="1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</row>
    <row r="433" spans="2:15" ht="15.75" customHeight="1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</row>
    <row r="434" spans="2:15" ht="15.75" customHeight="1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</row>
    <row r="435" spans="2:15" ht="15.75" customHeight="1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 spans="2:15" ht="15.75" customHeight="1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</row>
    <row r="437" spans="2:15" ht="15.75" customHeight="1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</row>
    <row r="438" spans="2:15" ht="15.75" customHeight="1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</row>
    <row r="439" spans="2:15" ht="15.75" customHeight="1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 spans="2:15" ht="15.75" customHeight="1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</row>
    <row r="441" spans="2:15" ht="15.75" customHeight="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</row>
    <row r="442" spans="2:15" ht="15.75" customHeight="1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 spans="2:15" ht="15.75" customHeight="1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 spans="2:15" ht="15.75" customHeight="1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</row>
    <row r="445" spans="2:15" ht="15.75" customHeight="1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</row>
    <row r="446" spans="2:15" ht="15.75" customHeight="1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</row>
    <row r="447" spans="2:15" ht="15.75" customHeight="1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 spans="2:15" ht="15.75" customHeight="1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</row>
    <row r="449" spans="2:15" ht="15.75" customHeight="1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</row>
    <row r="450" spans="2:15" ht="15.75" customHeight="1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</row>
    <row r="451" spans="2:15" ht="15.75" customHeight="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 spans="2:15" ht="15.75" customHeight="1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</row>
    <row r="453" spans="2:15" ht="15.75" customHeight="1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</row>
    <row r="454" spans="2:15" ht="15.75" customHeight="1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</row>
    <row r="455" spans="2:15" ht="15.75" customHeight="1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</row>
    <row r="456" spans="2:15" ht="15.75" customHeight="1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</row>
    <row r="457" spans="2:15" ht="15.75" customHeight="1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</row>
    <row r="458" spans="2:15" ht="15.75" customHeight="1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</row>
    <row r="459" spans="2:15" ht="15.75" customHeight="1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</row>
    <row r="460" spans="2:15" ht="15.75" customHeight="1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</row>
    <row r="461" spans="2:15" ht="15.75" customHeight="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</row>
    <row r="462" spans="2:15" ht="15.75" customHeight="1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</row>
    <row r="463" spans="2:15" ht="15.75" customHeight="1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</row>
    <row r="464" spans="2:15" ht="15.75" customHeight="1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</row>
    <row r="465" spans="2:15" ht="15.75" customHeight="1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</row>
    <row r="466" spans="2:15" ht="15.75" customHeight="1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</row>
    <row r="467" spans="2:15" ht="15.75" customHeight="1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</row>
    <row r="468" spans="2:15" ht="15.75" customHeight="1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</row>
    <row r="469" spans="2:15" ht="15.75" customHeight="1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</row>
    <row r="470" spans="2:15" ht="15.75" customHeight="1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</row>
    <row r="471" spans="2:15" ht="15.75" customHeight="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</row>
    <row r="472" spans="2:15" ht="15.75" customHeight="1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</row>
    <row r="473" spans="2:15" ht="15.75" customHeight="1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</row>
    <row r="474" spans="2:15" ht="15.75" customHeight="1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</row>
    <row r="475" spans="2:15" ht="15.75" customHeight="1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</row>
    <row r="476" spans="2:15" ht="15.75" customHeight="1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</row>
    <row r="477" spans="2:15" ht="15.75" customHeight="1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</row>
    <row r="478" spans="2:15" ht="15.75" customHeight="1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</row>
    <row r="479" spans="2:15" ht="15.75" customHeight="1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</row>
    <row r="480" spans="2:15" ht="15.75" customHeight="1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</row>
    <row r="481" spans="2:15" ht="15.75" customHeight="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</row>
    <row r="482" spans="2:15" ht="15.75" customHeight="1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</row>
    <row r="483" spans="2:15" ht="15.75" customHeight="1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</row>
    <row r="484" spans="2:15" ht="15.75" customHeight="1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</row>
    <row r="485" spans="2:15" ht="15.75" customHeight="1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</row>
    <row r="486" spans="2:15" ht="15.75" customHeight="1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</row>
    <row r="487" spans="2:15" ht="15.75" customHeight="1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</row>
    <row r="488" spans="2:15" ht="15.75" customHeight="1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</row>
    <row r="489" spans="2:15" ht="15.75" customHeight="1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</row>
    <row r="490" spans="2:15" ht="15.75" customHeight="1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</row>
    <row r="491" spans="2:15" ht="15.75" customHeight="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</row>
    <row r="492" spans="2:15" ht="15.75" customHeight="1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</row>
    <row r="493" spans="2:15" ht="15.75" customHeight="1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</row>
    <row r="494" spans="2:15" ht="15.75" customHeight="1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</row>
    <row r="495" spans="2:15" ht="15.75" customHeight="1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</row>
    <row r="496" spans="2:15" ht="15.75" customHeight="1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</row>
    <row r="497" spans="2:15" ht="15.75" customHeight="1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</row>
    <row r="498" spans="2:15" ht="15.75" customHeight="1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</row>
    <row r="499" spans="2:15" ht="15.75" customHeight="1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</row>
    <row r="500" spans="2:15" ht="15.75" customHeight="1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</row>
    <row r="501" spans="2:15" ht="15.75" customHeight="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</row>
    <row r="502" spans="2:15" ht="15.75" customHeight="1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</row>
    <row r="503" spans="2:15" ht="15.75" customHeight="1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</row>
    <row r="504" spans="2:15" ht="15.75" customHeight="1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 spans="2:15" ht="15.75" customHeight="1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 spans="2:15" ht="15.75" customHeight="1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spans="2:15" ht="15.75" customHeight="1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 spans="2:15" ht="15.75" customHeight="1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 spans="2:15" ht="15.75" customHeight="1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 spans="2:15" ht="15.75" customHeight="1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 spans="2:15" ht="15.75" customHeight="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  <row r="512" spans="2:15" ht="15.75" customHeight="1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</row>
    <row r="513" spans="2:15" ht="15.75" customHeight="1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</row>
    <row r="514" spans="2:15" ht="15.75" customHeight="1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</row>
    <row r="515" spans="2:15" ht="15.75" customHeight="1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</row>
    <row r="516" spans="2:15" ht="15.75" customHeight="1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</row>
    <row r="517" spans="2:15" ht="15.75" customHeight="1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</row>
    <row r="518" spans="2:15" ht="15.75" customHeight="1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</row>
    <row r="519" spans="2:15" ht="15.75" customHeight="1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</row>
    <row r="520" spans="2:15" ht="15.75" customHeight="1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</row>
    <row r="521" spans="2:15" ht="15.75" customHeight="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</row>
    <row r="522" spans="2:15" ht="15.75" customHeight="1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</row>
    <row r="523" spans="2:15" ht="15.75" customHeight="1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</row>
    <row r="524" spans="2:15" ht="15.75" customHeight="1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</row>
    <row r="525" spans="2:15" ht="15.75" customHeight="1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</row>
    <row r="526" spans="2:15" ht="15.75" customHeight="1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</row>
    <row r="527" spans="2:15" ht="15.75" customHeight="1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</row>
    <row r="528" spans="2:15" ht="15.75" customHeight="1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</row>
    <row r="529" spans="2:15" ht="15.75" customHeight="1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</row>
    <row r="530" spans="2:15" ht="15.75" customHeight="1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</row>
    <row r="531" spans="2:15" ht="15.75" customHeight="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</row>
    <row r="532" spans="2:15" ht="15.75" customHeight="1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</row>
    <row r="533" spans="2:15" ht="15.75" customHeight="1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</row>
    <row r="534" spans="2:15" ht="15.75" customHeight="1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</row>
    <row r="535" spans="2:15" ht="15.75" customHeight="1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</row>
    <row r="536" spans="2:15" ht="15.75" customHeight="1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</row>
    <row r="537" spans="2:15" ht="15.75" customHeight="1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</row>
    <row r="538" spans="2:15" ht="15.75" customHeight="1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</row>
    <row r="539" spans="2:15" ht="15.75" customHeight="1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</row>
    <row r="540" spans="2:15" ht="15.75" customHeight="1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</row>
    <row r="541" spans="2:15" ht="15.75" customHeight="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</row>
    <row r="542" spans="2:15" ht="15.75" customHeight="1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</row>
    <row r="543" spans="2:15" ht="15.75" customHeight="1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</row>
    <row r="544" spans="2:15" ht="15.75" customHeight="1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</row>
    <row r="545" spans="2:15" ht="15.75" customHeight="1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</row>
    <row r="546" spans="2:15" ht="15.75" customHeight="1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</row>
    <row r="547" spans="2:15" ht="15.75" customHeight="1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</row>
    <row r="548" spans="2:15" ht="15.75" customHeight="1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</row>
    <row r="549" spans="2:15" ht="15.75" customHeight="1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</row>
    <row r="550" spans="2:15" ht="15.75" customHeight="1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</row>
    <row r="551" spans="2:15" ht="15.75" customHeight="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</row>
    <row r="552" spans="2:15" ht="15.75" customHeight="1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</row>
    <row r="553" spans="2:15" ht="15.75" customHeight="1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</row>
    <row r="554" spans="2:15" ht="15.75" customHeight="1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</row>
    <row r="555" spans="2:15" ht="15.75" customHeight="1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</row>
    <row r="556" spans="2:15" ht="15.75" customHeight="1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</row>
    <row r="557" spans="2:15" ht="15.75" customHeight="1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</row>
    <row r="558" spans="2:15" ht="15.75" customHeight="1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</row>
    <row r="559" spans="2:15" ht="15.75" customHeight="1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</row>
    <row r="560" spans="2:15" ht="15.75" customHeight="1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</row>
    <row r="561" spans="2:15" ht="15.75" customHeight="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</row>
    <row r="562" spans="2:15" ht="15.75" customHeight="1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</row>
    <row r="563" spans="2:15" ht="15.75" customHeight="1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</row>
    <row r="564" spans="2:15" ht="15.75" customHeight="1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</row>
    <row r="565" spans="2:15" ht="15.75" customHeight="1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</row>
    <row r="566" spans="2:15" ht="15.75" customHeight="1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</row>
    <row r="567" spans="2:15" ht="15.75" customHeight="1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</row>
    <row r="568" spans="2:15" ht="15.75" customHeight="1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</row>
    <row r="569" spans="2:15" ht="15.75" customHeight="1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</row>
    <row r="570" spans="2:15" ht="15.75" customHeight="1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</row>
    <row r="571" spans="2:15" ht="15.75" customHeight="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</row>
    <row r="572" spans="2:15" ht="15.75" customHeight="1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</row>
    <row r="573" spans="2:15" ht="15.75" customHeight="1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</row>
    <row r="574" spans="2:15" ht="15.75" customHeight="1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</row>
    <row r="575" spans="2:15" ht="15.75" customHeight="1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</row>
    <row r="576" spans="2:15" ht="15.75" customHeight="1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</row>
    <row r="577" spans="2:15" ht="15.75" customHeight="1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</row>
    <row r="578" spans="2:15" ht="15.75" customHeight="1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</row>
    <row r="579" spans="2:15" ht="15.75" customHeight="1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</row>
    <row r="580" spans="2:15" ht="15.75" customHeight="1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</row>
    <row r="581" spans="2:15" ht="15.75" customHeight="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</row>
    <row r="582" spans="2:15" ht="15.75" customHeight="1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</row>
    <row r="583" spans="2:15" ht="15.75" customHeight="1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</row>
    <row r="584" spans="2:15" ht="15.75" customHeight="1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</row>
    <row r="585" spans="2:15" ht="15.75" customHeight="1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</row>
    <row r="586" spans="2:15" ht="15.75" customHeight="1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</row>
    <row r="587" spans="2:15" ht="15.75" customHeight="1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</row>
    <row r="588" spans="2:15" ht="15.75" customHeight="1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</row>
    <row r="589" spans="2:15" ht="15.75" customHeight="1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</row>
    <row r="590" spans="2:15" ht="15.75" customHeight="1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</row>
    <row r="591" spans="2:15" ht="15.75" customHeight="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</row>
    <row r="592" spans="2:15" ht="15.75" customHeight="1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</row>
    <row r="593" spans="2:15" ht="15.75" customHeight="1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</row>
    <row r="594" spans="2:15" ht="15.75" customHeight="1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</row>
    <row r="595" spans="2:15" ht="15.75" customHeight="1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</row>
    <row r="596" spans="2:15" ht="15.75" customHeight="1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</row>
    <row r="597" spans="2:15" ht="15.75" customHeight="1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</row>
    <row r="598" spans="2:15" ht="15.75" customHeight="1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</row>
    <row r="599" spans="2:15" ht="15.75" customHeight="1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</row>
    <row r="600" spans="2:15" ht="15.75" customHeight="1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</row>
    <row r="601" spans="2:15" ht="15.75" customHeight="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</row>
    <row r="602" spans="2:15" ht="15.75" customHeight="1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</row>
    <row r="603" spans="2:15" ht="15.75" customHeight="1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</row>
    <row r="604" spans="2:15" ht="15.75" customHeight="1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</row>
    <row r="605" spans="2:15" ht="15.75" customHeight="1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</row>
    <row r="606" spans="2:15" ht="15.75" customHeight="1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</row>
    <row r="607" spans="2:15" ht="15.75" customHeight="1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</row>
    <row r="608" spans="2:15" ht="15.75" customHeight="1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</row>
    <row r="609" spans="2:15" ht="15.75" customHeight="1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</row>
    <row r="610" spans="2:15" ht="15.75" customHeight="1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</row>
    <row r="611" spans="2:15" ht="15.75" customHeight="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</row>
    <row r="612" spans="2:15" ht="15.75" customHeight="1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</row>
    <row r="613" spans="2:15" ht="15.75" customHeight="1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</row>
    <row r="614" spans="2:15" ht="15.75" customHeight="1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</row>
    <row r="615" spans="2:15" ht="15.75" customHeight="1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</row>
    <row r="616" spans="2:15" ht="15.75" customHeight="1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</row>
    <row r="617" spans="2:15" ht="15.75" customHeight="1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</row>
    <row r="618" spans="2:15" ht="15.75" customHeight="1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</row>
    <row r="619" spans="2:15" ht="15.75" customHeight="1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</row>
    <row r="620" spans="2:15" ht="15.75" customHeight="1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</row>
    <row r="621" spans="2:15" ht="15.75" customHeight="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</row>
    <row r="622" spans="2:15" ht="15.75" customHeight="1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</row>
    <row r="623" spans="2:15" ht="15.75" customHeight="1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</row>
    <row r="624" spans="2:15" ht="15.75" customHeight="1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</row>
    <row r="625" spans="2:15" ht="15.75" customHeight="1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</row>
    <row r="626" spans="2:15" ht="15.75" customHeight="1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</row>
    <row r="627" spans="2:15" ht="15.75" customHeight="1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</row>
    <row r="628" spans="2:15" ht="15.75" customHeight="1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</row>
    <row r="629" spans="2:15" ht="15.75" customHeight="1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</row>
    <row r="630" spans="2:15" ht="15.75" customHeight="1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</row>
    <row r="631" spans="2:15" ht="15.75" customHeight="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</row>
    <row r="632" spans="2:15" ht="15.75" customHeight="1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</row>
    <row r="633" spans="2:15" ht="15.75" customHeight="1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</row>
    <row r="634" spans="2:15" ht="15.75" customHeight="1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</row>
    <row r="635" spans="2:15" ht="15.75" customHeight="1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</row>
    <row r="636" spans="2:15" ht="15.75" customHeight="1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</row>
    <row r="637" spans="2:15" ht="15.75" customHeight="1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</row>
    <row r="638" spans="2:15" ht="15.75" customHeight="1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</row>
    <row r="639" spans="2:15" ht="15.75" customHeight="1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</row>
    <row r="640" spans="2:15" ht="15.75" customHeight="1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</row>
    <row r="641" spans="2:15" ht="15.75" customHeight="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</row>
    <row r="642" spans="2:15" ht="15.75" customHeight="1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</row>
    <row r="643" spans="2:15" ht="15.75" customHeight="1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</row>
    <row r="644" spans="2:15" ht="15.75" customHeight="1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</row>
    <row r="645" spans="2:15" ht="15.75" customHeight="1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</row>
    <row r="646" spans="2:15" ht="15.75" customHeight="1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</row>
    <row r="647" spans="2:15" ht="15.75" customHeight="1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</row>
    <row r="648" spans="2:15" ht="15.75" customHeight="1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</row>
    <row r="649" spans="2:15" ht="15.75" customHeight="1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</row>
    <row r="650" spans="2:15" ht="15.75" customHeight="1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</row>
    <row r="651" spans="2:15" ht="15.75" customHeight="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</row>
    <row r="652" spans="2:15" ht="15.75" customHeight="1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</row>
    <row r="653" spans="2:15" ht="15.75" customHeight="1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</row>
    <row r="654" spans="2:15" ht="15.75" customHeight="1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</row>
    <row r="655" spans="2:15" ht="15.75" customHeight="1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</row>
    <row r="656" spans="2:15" ht="15.75" customHeight="1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</row>
    <row r="657" spans="2:15" ht="15.75" customHeight="1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</row>
    <row r="658" spans="2:15" ht="15.75" customHeight="1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</row>
    <row r="659" spans="2:15" ht="15.75" customHeight="1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</row>
    <row r="660" spans="2:15" ht="15.75" customHeight="1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</row>
    <row r="661" spans="2:15" ht="15.75" customHeight="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</row>
    <row r="662" spans="2:15" ht="15.75" customHeight="1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</row>
    <row r="663" spans="2:15" ht="15.75" customHeight="1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</row>
    <row r="664" spans="2:15" ht="15.75" customHeight="1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</row>
    <row r="665" spans="2:15" ht="15.75" customHeight="1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</row>
    <row r="666" spans="2:15" ht="15.75" customHeight="1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</row>
    <row r="667" spans="2:15" ht="15.75" customHeight="1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</row>
    <row r="668" spans="2:15" ht="15.75" customHeight="1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</row>
    <row r="669" spans="2:15" ht="15.75" customHeight="1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</row>
    <row r="670" spans="2:15" ht="15.75" customHeight="1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</row>
    <row r="671" spans="2:15" ht="15.75" customHeight="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</row>
    <row r="672" spans="2:15" ht="15.75" customHeight="1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</row>
    <row r="673" spans="2:15" ht="15.75" customHeight="1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</row>
    <row r="674" spans="2:15" ht="15.75" customHeight="1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</row>
    <row r="675" spans="2:15" ht="15.75" customHeight="1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</row>
    <row r="676" spans="2:15" ht="15.75" customHeight="1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</row>
    <row r="677" spans="2:15" ht="15.75" customHeight="1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</row>
    <row r="678" spans="2:15" ht="15.75" customHeight="1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</row>
    <row r="679" spans="2:15" ht="15.75" customHeight="1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</row>
    <row r="680" spans="2:15" ht="15.75" customHeight="1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</row>
    <row r="681" spans="2:15" ht="15.75" customHeight="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</row>
    <row r="682" spans="2:15" ht="15.75" customHeight="1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</row>
    <row r="683" spans="2:15" ht="15.75" customHeight="1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</row>
    <row r="684" spans="2:15" ht="15.75" customHeight="1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</row>
    <row r="685" spans="2:15" ht="15.75" customHeight="1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</row>
    <row r="686" spans="2:15" ht="15.75" customHeight="1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</row>
    <row r="687" spans="2:15" ht="15.75" customHeight="1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</row>
    <row r="688" spans="2:15" ht="15.75" customHeight="1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</row>
    <row r="689" spans="2:15" ht="15.75" customHeight="1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</row>
    <row r="690" spans="2:15" ht="15.75" customHeight="1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</row>
    <row r="691" spans="2:15" ht="15.75" customHeight="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</row>
    <row r="692" spans="2:15" ht="15.75" customHeight="1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</row>
    <row r="693" spans="2:15" ht="15.75" customHeight="1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</row>
    <row r="694" spans="2:15" ht="15.75" customHeight="1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</row>
    <row r="695" spans="2:15" ht="15.75" customHeight="1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</row>
    <row r="696" spans="2:15" ht="15.75" customHeight="1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</row>
    <row r="697" spans="2:15" ht="15.75" customHeight="1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</row>
    <row r="698" spans="2:15" ht="15.75" customHeight="1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</row>
    <row r="699" spans="2:15" ht="15.75" customHeight="1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</row>
    <row r="700" spans="2:15" ht="15.75" customHeight="1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</row>
    <row r="701" spans="2:15" ht="15.75" customHeight="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</row>
    <row r="702" spans="2:15" ht="15.75" customHeight="1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</row>
    <row r="703" spans="2:15" ht="15.75" customHeight="1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</row>
    <row r="704" spans="2:15" ht="15.75" customHeight="1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</row>
    <row r="705" spans="2:15" ht="15.75" customHeight="1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</row>
    <row r="706" spans="2:15" ht="15.75" customHeight="1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</row>
    <row r="707" spans="2:15" ht="15.75" customHeight="1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</row>
    <row r="708" spans="2:15" ht="15.75" customHeight="1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</row>
    <row r="709" spans="2:15" ht="15.75" customHeight="1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</row>
    <row r="710" spans="2:15" ht="15.75" customHeight="1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</row>
    <row r="711" spans="2:15" ht="15.75" customHeight="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</row>
    <row r="712" spans="2:15" ht="15.75" customHeight="1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</row>
    <row r="713" spans="2:15" ht="15.75" customHeight="1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</row>
    <row r="714" spans="2:15" ht="15.75" customHeight="1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</row>
    <row r="715" spans="2:15" ht="15.75" customHeight="1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</row>
    <row r="716" spans="2:15" ht="15.75" customHeight="1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</row>
    <row r="717" spans="2:15" ht="15.75" customHeight="1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</row>
    <row r="718" spans="2:15" ht="15.75" customHeight="1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</row>
    <row r="719" spans="2:15" ht="15.75" customHeight="1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</row>
    <row r="720" spans="2:15" ht="15.75" customHeight="1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</row>
    <row r="721" spans="2:15" ht="15.75" customHeight="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</row>
    <row r="722" spans="2:15" ht="15.75" customHeight="1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</row>
    <row r="723" spans="2:15" ht="15.75" customHeight="1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</row>
    <row r="724" spans="2:15" ht="15.75" customHeight="1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</row>
    <row r="725" spans="2:15" ht="15.75" customHeight="1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</row>
    <row r="726" spans="2:15" ht="15.75" customHeight="1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</row>
    <row r="727" spans="2:15" ht="15.75" customHeight="1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</row>
    <row r="728" spans="2:15" ht="15.75" customHeight="1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</row>
    <row r="729" spans="2:15" ht="15.75" customHeight="1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</row>
    <row r="730" spans="2:15" ht="15.75" customHeight="1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</row>
    <row r="731" spans="2:15" ht="15.75" customHeight="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</row>
    <row r="732" spans="2:15" ht="15.75" customHeight="1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</row>
    <row r="733" spans="2:15" ht="15.75" customHeight="1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</row>
    <row r="734" spans="2:15" ht="15.75" customHeight="1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</row>
    <row r="735" spans="2:15" ht="15.75" customHeight="1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</row>
    <row r="736" spans="2:15" ht="15.75" customHeight="1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</row>
    <row r="737" spans="2:15" ht="15.75" customHeight="1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</row>
    <row r="738" spans="2:15" ht="15.75" customHeight="1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</row>
    <row r="739" spans="2:15" ht="15.75" customHeight="1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</row>
    <row r="740" spans="2:15" ht="15.75" customHeight="1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</row>
    <row r="741" spans="2:15" ht="15.75" customHeight="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</row>
    <row r="742" spans="2:15" ht="15.75" customHeight="1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</row>
    <row r="743" spans="2:15" ht="15.75" customHeight="1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</row>
    <row r="744" spans="2:15" ht="15.75" customHeight="1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</row>
    <row r="745" spans="2:15" ht="15.75" customHeight="1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</row>
    <row r="746" spans="2:15" ht="15.75" customHeight="1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</row>
    <row r="747" spans="2:15" ht="15.75" customHeight="1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</row>
    <row r="748" spans="2:15" ht="15.75" customHeight="1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</row>
    <row r="749" spans="2:15" ht="15.75" customHeight="1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</row>
    <row r="750" spans="2:15" ht="15.75" customHeight="1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</row>
    <row r="751" spans="2:15" ht="15.75" customHeight="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</row>
    <row r="752" spans="2:15" ht="15.75" customHeight="1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</row>
    <row r="753" spans="2:15" ht="15.75" customHeight="1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</row>
    <row r="754" spans="2:15" ht="15.75" customHeight="1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</row>
    <row r="755" spans="2:15" ht="15.75" customHeight="1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</row>
    <row r="756" spans="2:15" ht="15.75" customHeight="1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</row>
    <row r="757" spans="2:15" ht="15.75" customHeight="1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</row>
    <row r="758" spans="2:15" ht="15.75" customHeight="1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</row>
    <row r="759" spans="2:15" ht="15.75" customHeight="1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</row>
    <row r="760" spans="2:15" ht="15.75" customHeight="1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</row>
    <row r="761" spans="2:15" ht="15.75" customHeight="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</row>
    <row r="762" spans="2:15" ht="15.75" customHeight="1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</row>
    <row r="763" spans="2:15" ht="15.75" customHeight="1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</row>
    <row r="764" spans="2:15" ht="15.75" customHeight="1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</row>
    <row r="765" spans="2:15" ht="15.75" customHeight="1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</row>
    <row r="766" spans="2:15" ht="15.75" customHeight="1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</row>
    <row r="767" spans="2:15" ht="15.75" customHeight="1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</row>
    <row r="768" spans="2:15" ht="15.75" customHeight="1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</row>
    <row r="769" spans="2:15" ht="15.75" customHeight="1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</row>
    <row r="770" spans="2:15" ht="15.75" customHeight="1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</row>
    <row r="771" spans="2:15" ht="15.75" customHeight="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</row>
    <row r="772" spans="2:15" ht="15.75" customHeight="1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</row>
    <row r="773" spans="2:15" ht="15.75" customHeight="1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</row>
    <row r="774" spans="2:15" ht="15.75" customHeight="1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</row>
    <row r="775" spans="2:15" ht="15.75" customHeight="1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</row>
    <row r="776" spans="2:15" ht="15.75" customHeight="1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</row>
    <row r="777" spans="2:15" ht="15.75" customHeight="1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</row>
    <row r="778" spans="2:15" ht="15.75" customHeight="1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</row>
    <row r="779" spans="2:15" ht="15.75" customHeight="1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</row>
    <row r="780" spans="2:15" ht="15.75" customHeight="1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</row>
    <row r="781" spans="2:15" ht="15.75" customHeight="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</row>
    <row r="782" spans="2:15" ht="15.75" customHeight="1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</row>
    <row r="783" spans="2:15" ht="15.75" customHeight="1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</row>
    <row r="784" spans="2:15" ht="15.75" customHeight="1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</row>
    <row r="785" spans="2:15" ht="15.75" customHeight="1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</row>
    <row r="786" spans="2:15" ht="15.75" customHeight="1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</row>
    <row r="787" spans="2:15" ht="15.75" customHeight="1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</row>
    <row r="788" spans="2:15" ht="15.75" customHeight="1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</row>
    <row r="789" spans="2:15" ht="15.75" customHeight="1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</row>
    <row r="790" spans="2:15" ht="15.75" customHeight="1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</row>
    <row r="791" spans="2:15" ht="15.75" customHeight="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</row>
    <row r="792" spans="2:15" ht="15.75" customHeight="1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</row>
    <row r="793" spans="2:15" ht="15.75" customHeight="1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</row>
    <row r="794" spans="2:15" ht="15.75" customHeight="1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</row>
    <row r="795" spans="2:15" ht="15.75" customHeight="1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</row>
    <row r="796" spans="2:15" ht="15.75" customHeight="1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</row>
    <row r="797" spans="2:15" ht="15.75" customHeight="1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</row>
    <row r="798" spans="2:15" ht="15.75" customHeight="1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</row>
    <row r="799" spans="2:15" ht="15.75" customHeight="1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</row>
    <row r="800" spans="2:15" ht="15.75" customHeight="1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</row>
    <row r="801" spans="2:15" ht="15.75" customHeight="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</row>
    <row r="802" spans="2:15" ht="15.75" customHeight="1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</row>
    <row r="803" spans="2:15" ht="15.75" customHeight="1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</row>
    <row r="804" spans="2:15" ht="15.75" customHeight="1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</row>
    <row r="805" spans="2:15" ht="15.75" customHeight="1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</row>
    <row r="806" spans="2:15" ht="15.75" customHeight="1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</row>
    <row r="807" spans="2:15" ht="15.75" customHeight="1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</row>
    <row r="808" spans="2:15" ht="15.75" customHeight="1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</row>
    <row r="809" spans="2:15" ht="15.75" customHeight="1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</row>
    <row r="810" spans="2:15" ht="15.75" customHeight="1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</row>
    <row r="811" spans="2:15" ht="15.75" customHeight="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</row>
    <row r="812" spans="2:15" ht="15.75" customHeight="1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</row>
    <row r="813" spans="2:15" ht="15.75" customHeight="1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</row>
    <row r="814" spans="2:15" ht="15.75" customHeight="1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</row>
    <row r="815" spans="2:15" ht="15.75" customHeight="1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</row>
    <row r="816" spans="2:15" ht="15.75" customHeight="1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</row>
    <row r="817" spans="2:15" ht="15.75" customHeight="1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</row>
    <row r="818" spans="2:15" ht="15.75" customHeight="1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</row>
    <row r="819" spans="2:15" ht="15.75" customHeight="1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</row>
    <row r="820" spans="2:15" ht="15.75" customHeight="1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</row>
    <row r="821" spans="2:15" ht="15.75" customHeight="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</row>
    <row r="822" spans="2:15" ht="15.75" customHeight="1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</row>
    <row r="823" spans="2:15" ht="15.75" customHeight="1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</row>
    <row r="824" spans="2:15" ht="15.75" customHeight="1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</row>
    <row r="825" spans="2:15" ht="15.75" customHeight="1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</row>
    <row r="826" spans="2:15" ht="15.75" customHeight="1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</row>
    <row r="827" spans="2:15" ht="15.75" customHeight="1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</row>
    <row r="828" spans="2:15" ht="15.75" customHeight="1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</row>
    <row r="829" spans="2:15" ht="15.75" customHeight="1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</row>
    <row r="830" spans="2:15" ht="15.75" customHeight="1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</row>
    <row r="831" spans="2:15" ht="15.75" customHeight="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</row>
    <row r="832" spans="2:15" ht="15.75" customHeight="1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</row>
    <row r="833" spans="2:15" ht="15.75" customHeight="1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</row>
    <row r="834" spans="2:15" ht="15.75" customHeight="1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</row>
    <row r="835" spans="2:15" ht="15.75" customHeight="1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</row>
    <row r="836" spans="2:15" ht="15.75" customHeight="1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</row>
    <row r="837" spans="2:15" ht="15.75" customHeight="1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</row>
    <row r="838" spans="2:15" ht="15.75" customHeight="1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</row>
    <row r="839" spans="2:15" ht="15.75" customHeight="1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</row>
    <row r="840" spans="2:15" ht="15.75" customHeight="1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</row>
    <row r="841" spans="2:15" ht="15.75" customHeight="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</row>
    <row r="842" spans="2:15" ht="15.75" customHeight="1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</row>
    <row r="843" spans="2:15" ht="15.75" customHeight="1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</row>
    <row r="844" spans="2:15" ht="15.75" customHeight="1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</row>
    <row r="845" spans="2:15" ht="15.75" customHeight="1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</row>
    <row r="846" spans="2:15" ht="15.75" customHeight="1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</row>
    <row r="847" spans="2:15" ht="15.75" customHeight="1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</row>
    <row r="848" spans="2:15" ht="15.75" customHeight="1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</row>
    <row r="849" spans="2:15" ht="15.75" customHeight="1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</row>
    <row r="850" spans="2:15" ht="15.75" customHeight="1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</row>
    <row r="851" spans="2:15" ht="15.75" customHeight="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</row>
    <row r="852" spans="2:15" ht="15.75" customHeight="1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</row>
    <row r="853" spans="2:15" ht="15.75" customHeight="1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</row>
    <row r="854" spans="2:15" ht="15.75" customHeight="1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</row>
    <row r="855" spans="2:15" ht="15.75" customHeight="1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</row>
    <row r="856" spans="2:15" ht="15.75" customHeight="1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</row>
    <row r="857" spans="2:15" ht="15.75" customHeight="1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</row>
    <row r="858" spans="2:15" ht="15.75" customHeight="1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</row>
    <row r="859" spans="2:15" ht="15.75" customHeight="1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</row>
    <row r="860" spans="2:15" ht="15.75" customHeight="1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</row>
    <row r="861" spans="2:15" ht="15.75" customHeight="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</row>
    <row r="862" spans="2:15" ht="15.75" customHeight="1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</row>
    <row r="863" spans="2:15" ht="15.75" customHeight="1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</row>
    <row r="864" spans="2:15" ht="15.75" customHeight="1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</row>
    <row r="865" spans="2:15" ht="15.75" customHeight="1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</row>
    <row r="866" spans="2:15" ht="15.75" customHeight="1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</row>
    <row r="867" spans="2:15" ht="15.75" customHeight="1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</row>
    <row r="868" spans="2:15" ht="15.75" customHeight="1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</row>
    <row r="869" spans="2:15" ht="15.75" customHeight="1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</row>
    <row r="870" spans="2:15" ht="15.75" customHeight="1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</row>
    <row r="871" spans="2:15" ht="15.75" customHeight="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</row>
    <row r="872" spans="2:15" ht="15.75" customHeight="1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</row>
    <row r="873" spans="2:15" ht="15.75" customHeight="1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</row>
    <row r="874" spans="2:15" ht="15.75" customHeight="1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</row>
    <row r="875" spans="2:15" ht="15.75" customHeight="1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</row>
    <row r="876" spans="2:15" ht="15.75" customHeight="1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</row>
    <row r="877" spans="2:15" ht="15.75" customHeight="1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</row>
    <row r="878" spans="2:15" ht="15.75" customHeight="1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</row>
    <row r="879" spans="2:15" ht="15.75" customHeight="1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</row>
    <row r="880" spans="2:15" ht="15.75" customHeight="1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</row>
    <row r="881" spans="2:15" ht="15.75" customHeight="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</row>
    <row r="882" spans="2:15" ht="15.75" customHeight="1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</row>
    <row r="883" spans="2:15" ht="15.75" customHeight="1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</row>
    <row r="884" spans="2:15" ht="15.75" customHeight="1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</row>
    <row r="885" spans="2:15" ht="15.75" customHeight="1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</row>
    <row r="886" spans="2:15" ht="15.75" customHeight="1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</row>
    <row r="887" spans="2:15" ht="15.75" customHeight="1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</row>
    <row r="888" spans="2:15" ht="15.75" customHeight="1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</row>
    <row r="889" spans="2:15" ht="15.75" customHeight="1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</row>
    <row r="890" spans="2:15" ht="15.75" customHeight="1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</row>
    <row r="891" spans="2:15" ht="15.75" customHeight="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</row>
    <row r="892" spans="2:15" ht="15.75" customHeight="1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</row>
    <row r="893" spans="2:15" ht="15.75" customHeight="1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</row>
    <row r="894" spans="2:15" ht="15.75" customHeight="1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</row>
    <row r="895" spans="2:15" ht="15.75" customHeight="1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</row>
    <row r="896" spans="2:15" ht="15.75" customHeight="1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</row>
    <row r="897" spans="2:15" ht="15.75" customHeight="1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</row>
    <row r="898" spans="2:15" ht="15.75" customHeight="1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</row>
    <row r="899" spans="2:15" ht="15.75" customHeight="1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</row>
    <row r="900" spans="2:15" ht="15.75" customHeight="1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</row>
    <row r="901" spans="2:15" ht="15.75" customHeight="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</row>
    <row r="902" spans="2:15" ht="15.75" customHeight="1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</row>
    <row r="903" spans="2:15" ht="15.75" customHeight="1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</row>
    <row r="904" spans="2:15" ht="15.75" customHeight="1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</row>
    <row r="905" spans="2:15" ht="15.75" customHeight="1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</row>
    <row r="906" spans="2:15" ht="15.75" customHeight="1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</row>
    <row r="907" spans="2:15" ht="15.75" customHeight="1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</row>
    <row r="908" spans="2:15" ht="15.75" customHeight="1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</row>
    <row r="909" spans="2:15" ht="15.75" customHeight="1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</row>
    <row r="910" spans="2:15" ht="15.75" customHeight="1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</row>
    <row r="911" spans="2:15" ht="15.75" customHeight="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</row>
    <row r="912" spans="2:15" ht="15.75" customHeight="1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</row>
    <row r="913" spans="2:15" ht="15.75" customHeight="1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</row>
    <row r="914" spans="2:15" ht="15.75" customHeight="1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</row>
    <row r="915" spans="2:15" ht="15.75" customHeight="1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</row>
    <row r="916" spans="2:15" ht="15.75" customHeight="1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</row>
    <row r="917" spans="2:15" ht="15.75" customHeight="1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</row>
    <row r="918" spans="2:15" ht="15.75" customHeight="1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</row>
    <row r="919" spans="2:15" ht="15.75" customHeight="1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</row>
    <row r="920" spans="2:15" ht="15.75" customHeight="1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</row>
    <row r="921" spans="2:15" ht="15.75" customHeight="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</row>
    <row r="922" spans="2:15" ht="15.75" customHeight="1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</row>
    <row r="923" spans="2:15" ht="15.75" customHeight="1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</row>
    <row r="924" spans="2:15" ht="15.75" customHeight="1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</row>
    <row r="925" spans="2:15" ht="15.75" customHeight="1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</row>
    <row r="926" spans="2:15" ht="15.75" customHeight="1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</row>
    <row r="927" spans="2:15" ht="15.75" customHeight="1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</row>
    <row r="928" spans="2:15" ht="15.75" customHeight="1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</row>
    <row r="929" spans="2:15" ht="15.75" customHeight="1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</row>
    <row r="930" spans="2:15" ht="15.75" customHeight="1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</row>
    <row r="931" spans="2:15" ht="15.75" customHeight="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</row>
    <row r="932" spans="2:15" ht="15.75" customHeight="1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</row>
    <row r="933" spans="2:15" ht="15.75" customHeight="1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</row>
    <row r="934" spans="2:15" ht="15.75" customHeight="1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</row>
    <row r="935" spans="2:15" ht="15.75" customHeight="1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</row>
    <row r="936" spans="2:15" ht="15.75" customHeight="1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</row>
    <row r="937" spans="2:15" ht="15.75" customHeight="1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</row>
    <row r="938" spans="2:15" ht="15.75" customHeight="1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</row>
    <row r="939" spans="2:15" ht="15.75" customHeight="1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</row>
    <row r="940" spans="2:15" ht="15.75" customHeight="1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</row>
    <row r="941" spans="2:15" ht="15.75" customHeight="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</row>
    <row r="942" spans="2:15" ht="15.75" customHeight="1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</row>
    <row r="943" spans="2:15" ht="15.75" customHeight="1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</row>
    <row r="944" spans="2:15" ht="15.75" customHeight="1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</row>
    <row r="945" spans="2:15" ht="15.75" customHeight="1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</row>
    <row r="946" spans="2:15" ht="15.75" customHeight="1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</row>
    <row r="947" spans="2:15" ht="15.75" customHeight="1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</row>
    <row r="948" spans="2:15" ht="15.75" customHeight="1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</row>
    <row r="949" spans="2:15" ht="15.75" customHeight="1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</row>
    <row r="950" spans="2:15" ht="15.75" customHeight="1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</row>
    <row r="951" spans="2:15" ht="15.75" customHeight="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</row>
    <row r="952" spans="2:15" ht="15.75" customHeight="1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</row>
    <row r="953" spans="2:15" ht="15.75" customHeight="1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</row>
    <row r="954" spans="2:15" ht="15.75" customHeight="1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</row>
    <row r="955" spans="2:15" ht="15.75" customHeight="1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</row>
    <row r="956" spans="2:15" ht="15.75" customHeight="1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</row>
    <row r="957" spans="2:15" ht="15.75" customHeight="1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</row>
    <row r="958" spans="2:15" ht="15.75" customHeight="1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</row>
    <row r="959" spans="2:15" ht="15.75" customHeight="1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</row>
    <row r="960" spans="2:15" ht="15.75" customHeight="1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</row>
    <row r="961" spans="2:15" ht="15.75" customHeight="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</row>
    <row r="962" spans="2:15" ht="15.75" customHeight="1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</row>
    <row r="963" spans="2:15" ht="15.75" customHeight="1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</row>
    <row r="964" spans="2:15" ht="15.75" customHeight="1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</row>
    <row r="965" spans="2:15" ht="15.75" customHeight="1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</row>
    <row r="966" spans="2:15" ht="15.75" customHeight="1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</row>
    <row r="967" spans="2:15" ht="15.75" customHeight="1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</row>
    <row r="968" spans="2:15" ht="15.75" customHeight="1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</row>
    <row r="969" spans="2:15" ht="15.75" customHeight="1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</row>
    <row r="970" spans="2:15" ht="15.75" customHeight="1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</row>
    <row r="971" spans="2:15" ht="15.75" customHeight="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</row>
    <row r="972" spans="2:15" ht="15.75" customHeight="1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</row>
    <row r="973" spans="2:15" ht="15.75" customHeight="1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</row>
    <row r="974" spans="2:15" ht="15.75" customHeight="1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</row>
    <row r="975" spans="2:15" ht="15.75" customHeight="1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</row>
    <row r="976" spans="2:15" ht="15.75" customHeight="1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</row>
    <row r="977" spans="2:15" ht="15.75" customHeight="1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</row>
    <row r="978" spans="2:15" ht="15.75" customHeight="1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</row>
    <row r="979" spans="2:15" ht="15.75" customHeight="1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</row>
    <row r="980" spans="2:15" ht="15.75" customHeight="1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</row>
    <row r="981" spans="2:15" ht="15.75" customHeight="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</row>
    <row r="982" spans="2:15" ht="15.75" customHeight="1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</row>
    <row r="983" spans="2:15" ht="15.75" customHeight="1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</row>
    <row r="984" spans="2:15" ht="15.75" customHeight="1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</row>
    <row r="985" spans="2:15" ht="15.75" customHeight="1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</row>
    <row r="986" spans="2:15" ht="15.75" customHeight="1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</row>
    <row r="987" spans="2:15" ht="15.75" customHeight="1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</row>
    <row r="988" spans="2:15" ht="15.75" customHeight="1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</row>
    <row r="989" spans="2:15" ht="15.75" customHeight="1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</row>
    <row r="990" spans="2:15" ht="15.75" customHeight="1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</row>
    <row r="991" spans="2:15" ht="15.75" customHeight="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</row>
    <row r="992" spans="2:15" ht="15.75" customHeight="1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</row>
    <row r="993" spans="2:15" ht="15.75" customHeight="1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</row>
    <row r="994" spans="2:15" ht="15.75" customHeight="1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</row>
    <row r="995" spans="2:15" ht="15.75" customHeight="1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</row>
    <row r="996" spans="2:15" ht="15.75" customHeight="1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</row>
    <row r="997" spans="2:15" ht="15.75" customHeight="1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</row>
    <row r="998" spans="2:15" ht="15.75" customHeight="1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</row>
    <row r="999" spans="2:15" ht="15.75" customHeight="1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</row>
    <row r="1000" spans="2:15" ht="15.75" customHeight="1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</row>
    <row r="1001" spans="2:15" ht="15.75" customHeight="1"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</row>
  </sheetData>
  <mergeCells count="1">
    <mergeCell ref="B3:O3"/>
  </mergeCells>
  <conditionalFormatting sqref="L6:L26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:L25">
    <cfRule type="colorScale" priority="3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L6:L26" xr:uid="{00000000-0002-0000-0000-000000000000}">
      <formula1>$L$32:$L$35</formula1>
      <formula2>0</formula2>
    </dataValidation>
    <dataValidation type="list" allowBlank="1" showErrorMessage="1" sqref="K6:K26" xr:uid="{00000000-0002-0000-0000-000001000000}">
      <formula1>$K$32:$K$34</formula1>
      <formula2>0</formula2>
    </dataValidation>
  </dataValidations>
  <printOptions horizontalCentered="1"/>
  <pageMargins left="0.31527777777777799" right="0.31527777777777799" top="0.74791666666666701" bottom="0.55138888888888904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5A7E-5D63-42CF-B9E3-12819BFDD273}">
  <sheetPr>
    <pageSetUpPr fitToPage="1"/>
  </sheetPr>
  <dimension ref="B2:P1000"/>
  <sheetViews>
    <sheetView showGridLines="0" tabSelected="1" zoomScaleNormal="100" workbookViewId="0">
      <selection activeCell="C10" sqref="C10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38"/>
      <c r="D4" s="38"/>
      <c r="E4" s="38"/>
      <c r="F4" s="39"/>
    </row>
    <row r="5" spans="2:16" hidden="1">
      <c r="C5" s="38"/>
      <c r="D5" s="38"/>
      <c r="E5" s="38"/>
      <c r="F5" s="39"/>
    </row>
    <row r="6" spans="2:16" ht="39.75" customHeight="1">
      <c r="B6" s="40" t="s">
        <v>157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2:16" ht="9.75" customHeight="1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6" ht="9.75" customHeight="1">
      <c r="B8" s="19"/>
      <c r="C8" s="42"/>
      <c r="D8" s="42"/>
      <c r="E8" s="42"/>
      <c r="F8" s="43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44" t="s">
        <v>1</v>
      </c>
      <c r="D9" s="45"/>
      <c r="E9" s="46" t="s">
        <v>158</v>
      </c>
      <c r="F9" s="46"/>
      <c r="G9" s="45"/>
      <c r="H9" s="46" t="s">
        <v>11</v>
      </c>
      <c r="I9" s="46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47" t="s">
        <v>15</v>
      </c>
      <c r="D10" s="48"/>
      <c r="E10" s="49" t="str">
        <f>VLOOKUP(C10,'Formato descripción HU'!B6:O22,5,0)</f>
        <v>Usuario</v>
      </c>
      <c r="F10" s="49"/>
      <c r="G10" s="50"/>
      <c r="H10" s="49" t="str">
        <f>VLOOKUP(C10,'Formato descripción HU'!B6:O22,11,0)</f>
        <v>No iniciado</v>
      </c>
      <c r="I10" s="49"/>
      <c r="J10" s="50"/>
      <c r="K10" s="27"/>
      <c r="L10" s="27"/>
      <c r="M10" s="27"/>
      <c r="N10" s="27"/>
      <c r="O10" s="27"/>
      <c r="P10" s="28"/>
    </row>
    <row r="11" spans="2:16" ht="9.75" customHeight="1">
      <c r="B11" s="24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27"/>
      <c r="N11" s="52"/>
      <c r="O11" s="52"/>
      <c r="P11" s="28"/>
    </row>
    <row r="12" spans="2:16" ht="30" customHeight="1">
      <c r="B12" s="24"/>
      <c r="C12" s="44" t="s">
        <v>159</v>
      </c>
      <c r="D12" s="48"/>
      <c r="E12" s="46" t="s">
        <v>10</v>
      </c>
      <c r="F12" s="46"/>
      <c r="G12" s="50"/>
      <c r="H12" s="46" t="s">
        <v>160</v>
      </c>
      <c r="I12" s="46"/>
      <c r="J12" s="50"/>
      <c r="K12" s="52"/>
      <c r="L12" s="52"/>
      <c r="M12" s="27"/>
      <c r="N12" s="52"/>
      <c r="O12" s="52"/>
      <c r="P12" s="28"/>
    </row>
    <row r="13" spans="2:16" ht="30" customHeight="1">
      <c r="B13" s="24"/>
      <c r="C13" s="47" t="str">
        <f>VLOOKUP('RF1 - Historia de Usuario'!C10,'Formato descripción HU'!B6:O22,8,0)</f>
        <v xml:space="preserve">8 horas </v>
      </c>
      <c r="D13" s="48"/>
      <c r="E13" s="49" t="str">
        <f>VLOOKUP(C10,'Formato descripción HU'!B6:O22,10,0)</f>
        <v>Alta</v>
      </c>
      <c r="F13" s="49"/>
      <c r="G13" s="50"/>
      <c r="H13" s="49">
        <f>VLOOKUP(C10,'Formato descripción HU'!B6:O22,7,0)</f>
        <v>0</v>
      </c>
      <c r="I13" s="49"/>
      <c r="J13" s="50"/>
      <c r="K13" s="52"/>
      <c r="L13" s="52"/>
      <c r="M13" s="27"/>
      <c r="N13" s="52"/>
      <c r="O13" s="52"/>
      <c r="P13" s="28"/>
    </row>
    <row r="14" spans="2:16" ht="9.75" customHeight="1">
      <c r="B14" s="24"/>
      <c r="C14" s="27"/>
      <c r="D14" s="48"/>
      <c r="E14" s="27"/>
      <c r="F14" s="27"/>
      <c r="G14" s="50"/>
      <c r="H14" s="50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53" t="s">
        <v>161</v>
      </c>
      <c r="D15" s="54" t="str">
        <f>VLOOKUP(C10,'Formato descripción HU'!B6:O22,3,0)</f>
        <v xml:space="preserve">Registrarme en la aplicación con mis datos obligatorios (nombre, correo, contraseña, fecha de nacimiento, rol).
</v>
      </c>
      <c r="E15" s="54"/>
      <c r="F15" s="34"/>
      <c r="G15" s="53" t="s">
        <v>162</v>
      </c>
      <c r="H15" s="54" t="str">
        <f>VLOOKUP(C10,'Formato descripción HU'!B6:O22,4,0)</f>
        <v>Para que el sistema guarde mis datos y me permita iniciar sesión.</v>
      </c>
      <c r="I15" s="54"/>
      <c r="J15" s="54"/>
      <c r="K15" s="34"/>
      <c r="L15" s="53" t="s">
        <v>163</v>
      </c>
      <c r="M15" s="55" t="str">
        <f>VLOOKUP(C10,'Formato descripción HU'!B6:O22,6,0)</f>
        <v xml:space="preserve">El usuario ingresa sus datos en el formulario de registro. El sistema valida el formato de los campos y los guarda.
</v>
      </c>
      <c r="N15" s="55"/>
      <c r="O15" s="55"/>
      <c r="P15" s="28"/>
    </row>
    <row r="16" spans="2:16" ht="19.5" customHeight="1">
      <c r="B16" s="24"/>
      <c r="C16" s="53"/>
      <c r="D16" s="54"/>
      <c r="E16" s="54"/>
      <c r="F16" s="34"/>
      <c r="G16" s="53"/>
      <c r="H16" s="54"/>
      <c r="I16" s="54"/>
      <c r="J16" s="54"/>
      <c r="K16" s="34"/>
      <c r="L16" s="53"/>
      <c r="M16" s="55"/>
      <c r="N16" s="55"/>
      <c r="O16" s="55"/>
      <c r="P16" s="28"/>
    </row>
    <row r="17" spans="2:16" ht="19.5" customHeight="1">
      <c r="B17" s="24"/>
      <c r="C17" s="53"/>
      <c r="D17" s="54"/>
      <c r="E17" s="54"/>
      <c r="F17" s="34"/>
      <c r="G17" s="53"/>
      <c r="H17" s="54"/>
      <c r="I17" s="54"/>
      <c r="J17" s="54"/>
      <c r="K17" s="34"/>
      <c r="L17" s="53"/>
      <c r="M17" s="55"/>
      <c r="N17" s="55"/>
      <c r="O17" s="55"/>
      <c r="P17" s="28"/>
    </row>
    <row r="18" spans="2:16" ht="9.75" customHeight="1">
      <c r="B18" s="24"/>
      <c r="C18" s="27"/>
      <c r="D18" s="27"/>
      <c r="E18" s="27"/>
      <c r="F18" s="27"/>
      <c r="G18" s="50"/>
      <c r="H18" s="50"/>
      <c r="I18" s="50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56" t="s">
        <v>164</v>
      </c>
      <c r="D19" s="56"/>
      <c r="E19" s="57" t="str">
        <f>VLOOKUP(C10,'Formato descripción HU'!B6:O22,14,0)</f>
        <v xml:space="preserve">Registrar Usuario 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28"/>
    </row>
    <row r="20" spans="2:16" ht="19.5" customHeight="1">
      <c r="B20" s="24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46" t="s">
        <v>165</v>
      </c>
      <c r="D22" s="46"/>
      <c r="E22" s="58" t="str">
        <f>VLOOKUP(C10,'Formato descripción HU'!B6:O22,12,0)</f>
        <v>Si no se puede identificar el rol, se muestra un error y se sugiere reiniciar sesión.</v>
      </c>
      <c r="F22" s="58"/>
      <c r="G22" s="58"/>
      <c r="H22" s="58"/>
      <c r="I22" s="27"/>
      <c r="J22" s="46" t="s">
        <v>13</v>
      </c>
      <c r="K22" s="46"/>
      <c r="L22" s="49">
        <f>VLOOKUP(C10,'Formato descripción HU'!B6:O22,13,0)</f>
        <v>0</v>
      </c>
      <c r="M22" s="49"/>
      <c r="N22" s="49"/>
      <c r="O22" s="49"/>
      <c r="P22" s="28"/>
    </row>
    <row r="23" spans="2:16" ht="19.5" customHeight="1">
      <c r="B23" s="24"/>
      <c r="C23" s="46"/>
      <c r="D23" s="46"/>
      <c r="E23" s="58"/>
      <c r="F23" s="58"/>
      <c r="G23" s="58"/>
      <c r="H23" s="58"/>
      <c r="I23" s="27"/>
      <c r="J23" s="46"/>
      <c r="K23" s="46"/>
      <c r="L23" s="49"/>
      <c r="M23" s="49"/>
      <c r="N23" s="49"/>
      <c r="O23" s="49"/>
      <c r="P23" s="28"/>
    </row>
    <row r="24" spans="2:16" ht="19.5" customHeight="1">
      <c r="B24" s="24"/>
      <c r="C24" s="46"/>
      <c r="D24" s="46"/>
      <c r="E24" s="58"/>
      <c r="F24" s="58"/>
      <c r="G24" s="58"/>
      <c r="H24" s="58"/>
      <c r="I24" s="27"/>
      <c r="J24" s="46"/>
      <c r="K24" s="46"/>
      <c r="L24" s="49"/>
      <c r="M24" s="49"/>
      <c r="N24" s="49"/>
      <c r="O24" s="49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19" priority="1" operator="equal">
      <formula>"Atrasado"</formula>
    </cfRule>
    <cfRule type="cellIs" dxfId="18" priority="2" operator="equal">
      <formula>"Terminado"</formula>
    </cfRule>
    <cfRule type="cellIs" dxfId="17" priority="3" operator="equal">
      <formula>"En proceso"</formula>
    </cfRule>
    <cfRule type="cellIs" dxfId="16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726185B-A64B-4953-996E-C886484F7DF4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53B7-4ABA-4780-85C5-913639683C2A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38"/>
      <c r="D4" s="38"/>
      <c r="E4" s="38"/>
      <c r="F4" s="39"/>
    </row>
    <row r="5" spans="2:16" hidden="1">
      <c r="C5" s="38"/>
      <c r="D5" s="38"/>
      <c r="E5" s="38"/>
      <c r="F5" s="39"/>
    </row>
    <row r="6" spans="2:16" ht="39.75" customHeight="1">
      <c r="B6" s="40" t="s">
        <v>157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2:16" ht="9.75" customHeight="1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6" ht="9.75" customHeight="1">
      <c r="B8" s="19"/>
      <c r="C8" s="42"/>
      <c r="D8" s="42"/>
      <c r="E8" s="42"/>
      <c r="F8" s="43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44" t="s">
        <v>1</v>
      </c>
      <c r="D9" s="45"/>
      <c r="E9" s="46" t="s">
        <v>158</v>
      </c>
      <c r="F9" s="46"/>
      <c r="G9" s="45"/>
      <c r="H9" s="46" t="s">
        <v>11</v>
      </c>
      <c r="I9" s="46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47" t="s">
        <v>27</v>
      </c>
      <c r="D10" s="48"/>
      <c r="E10" s="49" t="str">
        <f>VLOOKUP(C10,'Formato descripción HU'!B6:O22,5,0)</f>
        <v xml:space="preserve">Usuario </v>
      </c>
      <c r="F10" s="49"/>
      <c r="G10" s="50"/>
      <c r="H10" s="49" t="str">
        <f>VLOOKUP(C10,'Formato descripción HU'!B6:O22,11,0)</f>
        <v>No iniciado</v>
      </c>
      <c r="I10" s="49"/>
      <c r="J10" s="50"/>
      <c r="K10" s="27"/>
      <c r="L10" s="27"/>
      <c r="M10" s="27"/>
      <c r="N10" s="27"/>
      <c r="O10" s="27"/>
      <c r="P10" s="28"/>
    </row>
    <row r="11" spans="2:16" ht="9.75" customHeight="1">
      <c r="B11" s="24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27"/>
      <c r="N11" s="52"/>
      <c r="O11" s="52"/>
      <c r="P11" s="28"/>
    </row>
    <row r="12" spans="2:16" ht="30" customHeight="1">
      <c r="B12" s="24"/>
      <c r="C12" s="44" t="s">
        <v>159</v>
      </c>
      <c r="D12" s="48"/>
      <c r="E12" s="46" t="s">
        <v>10</v>
      </c>
      <c r="F12" s="46"/>
      <c r="G12" s="50"/>
      <c r="H12" s="46" t="s">
        <v>160</v>
      </c>
      <c r="I12" s="46"/>
      <c r="J12" s="50"/>
      <c r="K12" s="52"/>
      <c r="L12" s="52"/>
      <c r="M12" s="27"/>
      <c r="N12" s="52"/>
      <c r="O12" s="52"/>
      <c r="P12" s="28"/>
    </row>
    <row r="13" spans="2:16" ht="30" customHeight="1">
      <c r="B13" s="24"/>
      <c r="C13" s="47" t="str">
        <f>VLOOKUP('RF2 - Historia de Usuario'!C10,'Formato descripción HU'!B6:O22,8,0)</f>
        <v xml:space="preserve">3 horas </v>
      </c>
      <c r="D13" s="48"/>
      <c r="E13" s="49" t="str">
        <f>VLOOKUP(C10,'Formato descripción HU'!B6:O22,10,0)</f>
        <v>Alta</v>
      </c>
      <c r="F13" s="49"/>
      <c r="G13" s="50"/>
      <c r="H13" s="49">
        <f>VLOOKUP(C10,'Formato descripción HU'!B6:O22,7,0)</f>
        <v>0</v>
      </c>
      <c r="I13" s="49"/>
      <c r="J13" s="50"/>
      <c r="K13" s="52"/>
      <c r="L13" s="52"/>
      <c r="M13" s="27"/>
      <c r="N13" s="52"/>
      <c r="O13" s="52"/>
      <c r="P13" s="28"/>
    </row>
    <row r="14" spans="2:16" ht="9.75" customHeight="1">
      <c r="B14" s="24"/>
      <c r="C14" s="27"/>
      <c r="D14" s="48"/>
      <c r="E14" s="27"/>
      <c r="F14" s="27"/>
      <c r="G14" s="50"/>
      <c r="H14" s="50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53" t="s">
        <v>161</v>
      </c>
      <c r="D15" s="54" t="str">
        <f>VLOOKUP(C10,'Formato descripción HU'!B6:O22,3,0)</f>
        <v>Iniciar sesión en la aplicación con mi correo electrónico y contraseña.</v>
      </c>
      <c r="E15" s="54"/>
      <c r="F15" s="34"/>
      <c r="G15" s="53" t="s">
        <v>162</v>
      </c>
      <c r="H15" s="54" t="str">
        <f>VLOOKUP(C10,'Formato descripción HU'!B6:O22,4,0)</f>
        <v>Para que el sistema valide mis credenciales y me autorice el acceso a la app.</v>
      </c>
      <c r="I15" s="54"/>
      <c r="J15" s="54"/>
      <c r="K15" s="34"/>
      <c r="L15" s="53" t="s">
        <v>163</v>
      </c>
      <c r="M15" s="55" t="str">
        <f>VLOOKUP(C10,'Formato descripción HU'!B6:O22,6,0)</f>
        <v>El usuario ingresa su correo y contraseña. El sistema los valida contra la base de datos y da acceso.</v>
      </c>
      <c r="N15" s="55"/>
      <c r="O15" s="55"/>
      <c r="P15" s="28"/>
    </row>
    <row r="16" spans="2:16" ht="19.5" customHeight="1">
      <c r="B16" s="24"/>
      <c r="C16" s="53"/>
      <c r="D16" s="54"/>
      <c r="E16" s="54"/>
      <c r="F16" s="34"/>
      <c r="G16" s="53"/>
      <c r="H16" s="54"/>
      <c r="I16" s="54"/>
      <c r="J16" s="54"/>
      <c r="K16" s="34"/>
      <c r="L16" s="53"/>
      <c r="M16" s="55"/>
      <c r="N16" s="55"/>
      <c r="O16" s="55"/>
      <c r="P16" s="28"/>
    </row>
    <row r="17" spans="2:16" ht="19.5" customHeight="1">
      <c r="B17" s="24"/>
      <c r="C17" s="53"/>
      <c r="D17" s="54"/>
      <c r="E17" s="54"/>
      <c r="F17" s="34"/>
      <c r="G17" s="53"/>
      <c r="H17" s="54"/>
      <c r="I17" s="54"/>
      <c r="J17" s="54"/>
      <c r="K17" s="34"/>
      <c r="L17" s="53"/>
      <c r="M17" s="55"/>
      <c r="N17" s="55"/>
      <c r="O17" s="55"/>
      <c r="P17" s="28"/>
    </row>
    <row r="18" spans="2:16" ht="9.75" customHeight="1">
      <c r="B18" s="24"/>
      <c r="C18" s="27"/>
      <c r="D18" s="27"/>
      <c r="E18" s="27"/>
      <c r="F18" s="27"/>
      <c r="G18" s="50"/>
      <c r="H18" s="50"/>
      <c r="I18" s="50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56" t="s">
        <v>164</v>
      </c>
      <c r="D19" s="56"/>
      <c r="E19" s="57" t="str">
        <f>VLOOKUP(C10,'Formato descripción HU'!B6:O22,14,0)</f>
        <v xml:space="preserve">Iniciar sesión 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28"/>
    </row>
    <row r="20" spans="2:16" ht="19.5" customHeight="1">
      <c r="B20" s="24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46" t="s">
        <v>165</v>
      </c>
      <c r="D22" s="46"/>
      <c r="E22" s="58" t="str">
        <f>VLOOKUP(C10,'Formato descripción HU'!B6:O22,12,0)</f>
        <v>Si el código es inválido o expirado, el sistema muestra un mensaje de error claro. Si es exitoso, muestra confirmación.</v>
      </c>
      <c r="F22" s="58"/>
      <c r="G22" s="58"/>
      <c r="H22" s="58"/>
      <c r="I22" s="27"/>
      <c r="J22" s="46" t="s">
        <v>13</v>
      </c>
      <c r="K22" s="46"/>
      <c r="L22" s="49">
        <f>VLOOKUP(C10,'Formato descripción HU'!B6:O22,13,0)</f>
        <v>0</v>
      </c>
      <c r="M22" s="49"/>
      <c r="N22" s="49"/>
      <c r="O22" s="49"/>
      <c r="P22" s="28"/>
    </row>
    <row r="23" spans="2:16" ht="19.5" customHeight="1">
      <c r="B23" s="24"/>
      <c r="C23" s="46"/>
      <c r="D23" s="46"/>
      <c r="E23" s="58"/>
      <c r="F23" s="58"/>
      <c r="G23" s="58"/>
      <c r="H23" s="58"/>
      <c r="I23" s="27"/>
      <c r="J23" s="46"/>
      <c r="K23" s="46"/>
      <c r="L23" s="49"/>
      <c r="M23" s="49"/>
      <c r="N23" s="49"/>
      <c r="O23" s="49"/>
      <c r="P23" s="28"/>
    </row>
    <row r="24" spans="2:16" ht="19.5" customHeight="1">
      <c r="B24" s="24"/>
      <c r="C24" s="46"/>
      <c r="D24" s="46"/>
      <c r="E24" s="58"/>
      <c r="F24" s="58"/>
      <c r="G24" s="58"/>
      <c r="H24" s="58"/>
      <c r="I24" s="27"/>
      <c r="J24" s="46"/>
      <c r="K24" s="46"/>
      <c r="L24" s="49"/>
      <c r="M24" s="49"/>
      <c r="N24" s="49"/>
      <c r="O24" s="49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15" priority="1" operator="equal">
      <formula>"Atrasado"</formula>
    </cfRule>
    <cfRule type="cellIs" dxfId="14" priority="2" operator="equal">
      <formula>"Terminado"</formula>
    </cfRule>
    <cfRule type="cellIs" dxfId="13" priority="3" operator="equal">
      <formula>"En proceso"</formula>
    </cfRule>
    <cfRule type="cellIs" dxfId="12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5C9C5F9-2740-4CDE-8052-F33E6D9D16F7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50E7-CFE9-4F4D-89CC-5B3BD2A55324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38"/>
      <c r="D4" s="38"/>
      <c r="E4" s="38"/>
      <c r="F4" s="39"/>
    </row>
    <row r="5" spans="2:16" hidden="1">
      <c r="C5" s="38"/>
      <c r="D5" s="38"/>
      <c r="E5" s="38"/>
      <c r="F5" s="39"/>
    </row>
    <row r="6" spans="2:16" ht="39.75" customHeight="1">
      <c r="B6" s="40" t="s">
        <v>157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2:16" ht="9.75" customHeight="1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6" ht="9.75" customHeight="1">
      <c r="B8" s="19"/>
      <c r="C8" s="42"/>
      <c r="D8" s="42"/>
      <c r="E8" s="42"/>
      <c r="F8" s="43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44" t="s">
        <v>1</v>
      </c>
      <c r="D9" s="45"/>
      <c r="E9" s="46" t="s">
        <v>158</v>
      </c>
      <c r="F9" s="46"/>
      <c r="G9" s="45"/>
      <c r="H9" s="46" t="s">
        <v>11</v>
      </c>
      <c r="I9" s="46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47" t="s">
        <v>36</v>
      </c>
      <c r="D10" s="48"/>
      <c r="E10" s="49" t="str">
        <f>VLOOKUP(C10,'Formato descripción HU'!B6:O22,5,0)</f>
        <v>Padre</v>
      </c>
      <c r="F10" s="49"/>
      <c r="G10" s="50"/>
      <c r="H10" s="49" t="str">
        <f>VLOOKUP(C10,'Formato descripción HU'!B6:O22,11,0)</f>
        <v>No iniciado</v>
      </c>
      <c r="I10" s="49"/>
      <c r="J10" s="50"/>
      <c r="K10" s="27"/>
      <c r="L10" s="27"/>
      <c r="M10" s="27"/>
      <c r="N10" s="27"/>
      <c r="O10" s="27"/>
      <c r="P10" s="28"/>
    </row>
    <row r="11" spans="2:16" ht="9.75" customHeight="1">
      <c r="B11" s="24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27"/>
      <c r="N11" s="52"/>
      <c r="O11" s="52"/>
      <c r="P11" s="28"/>
    </row>
    <row r="12" spans="2:16" ht="30" customHeight="1">
      <c r="B12" s="24"/>
      <c r="C12" s="44" t="s">
        <v>159</v>
      </c>
      <c r="D12" s="48"/>
      <c r="E12" s="46" t="s">
        <v>10</v>
      </c>
      <c r="F12" s="46"/>
      <c r="G12" s="50"/>
      <c r="H12" s="46" t="s">
        <v>160</v>
      </c>
      <c r="I12" s="46"/>
      <c r="J12" s="50"/>
      <c r="K12" s="52"/>
      <c r="L12" s="52"/>
      <c r="M12" s="27"/>
      <c r="N12" s="52"/>
      <c r="O12" s="52"/>
      <c r="P12" s="28"/>
    </row>
    <row r="13" spans="2:16" ht="30" customHeight="1">
      <c r="B13" s="24"/>
      <c r="C13" s="47" t="str">
        <f>VLOOKUP('RF3.1 - Historia de Usuario'!C10,'Formato descripción HU'!B6:O22,8,0)</f>
        <v>6 horas</v>
      </c>
      <c r="D13" s="48"/>
      <c r="E13" s="49">
        <f>VLOOKUP(C10,'Formato descripción HU'!B6:O22,10,0)</f>
        <v>0</v>
      </c>
      <c r="F13" s="49"/>
      <c r="G13" s="50"/>
      <c r="H13" s="49">
        <f>VLOOKUP(C10,'Formato descripción HU'!B6:O22,7,0)</f>
        <v>0</v>
      </c>
      <c r="I13" s="49"/>
      <c r="J13" s="50"/>
      <c r="K13" s="52"/>
      <c r="L13" s="52"/>
      <c r="M13" s="27"/>
      <c r="N13" s="52"/>
      <c r="O13" s="52"/>
      <c r="P13" s="28"/>
    </row>
    <row r="14" spans="2:16" ht="9.75" customHeight="1">
      <c r="B14" s="24"/>
      <c r="C14" s="27"/>
      <c r="D14" s="48"/>
      <c r="E14" s="27"/>
      <c r="F14" s="27"/>
      <c r="G14" s="50"/>
      <c r="H14" s="50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53" t="s">
        <v>161</v>
      </c>
      <c r="D15" s="54" t="str">
        <f>VLOOKUP(C10,'Formato descripción HU'!B6:O22,3,0)</f>
        <v>El padre necesita ver el contenido del nivel principiante para la categoría de edad seleccionada.</v>
      </c>
      <c r="E15" s="54"/>
      <c r="F15" s="34"/>
      <c r="G15" s="53" t="s">
        <v>162</v>
      </c>
      <c r="H15" s="54" t="str">
        <f>VLOOKUP(C10,'Formato descripción HU'!B6:O22,4,0)</f>
        <v>(Derivado) Para que el actor pueda seleccionar, visualizar y filtrar contenido de expresiones básicas y señas sobre animales.</v>
      </c>
      <c r="I15" s="54"/>
      <c r="J15" s="54"/>
      <c r="K15" s="34"/>
      <c r="L15" s="53" t="s">
        <v>163</v>
      </c>
      <c r="M15" s="55" t="str">
        <f>VLOOKUP(C10,'Formato descripción HU'!B6:O22,6,0)</f>
        <v>El sistema presenta... lista de contenidos... El actor selecciona un contenido... El actor puede aplicar un filtro... El sistema muestra el contenido filtrado.</v>
      </c>
      <c r="N15" s="55"/>
      <c r="O15" s="55"/>
      <c r="P15" s="28"/>
    </row>
    <row r="16" spans="2:16" ht="19.5" customHeight="1">
      <c r="B16" s="24"/>
      <c r="C16" s="53"/>
      <c r="D16" s="54"/>
      <c r="E16" s="54"/>
      <c r="F16" s="34"/>
      <c r="G16" s="53"/>
      <c r="H16" s="54"/>
      <c r="I16" s="54"/>
      <c r="J16" s="54"/>
      <c r="K16" s="34"/>
      <c r="L16" s="53"/>
      <c r="M16" s="55"/>
      <c r="N16" s="55"/>
      <c r="O16" s="55"/>
      <c r="P16" s="28"/>
    </row>
    <row r="17" spans="2:16" ht="19.5" customHeight="1">
      <c r="B17" s="24"/>
      <c r="C17" s="53"/>
      <c r="D17" s="54"/>
      <c r="E17" s="54"/>
      <c r="F17" s="34"/>
      <c r="G17" s="53"/>
      <c r="H17" s="54"/>
      <c r="I17" s="54"/>
      <c r="J17" s="54"/>
      <c r="K17" s="34"/>
      <c r="L17" s="53"/>
      <c r="M17" s="55"/>
      <c r="N17" s="55"/>
      <c r="O17" s="55"/>
      <c r="P17" s="28"/>
    </row>
    <row r="18" spans="2:16" ht="9.75" customHeight="1">
      <c r="B18" s="24"/>
      <c r="C18" s="27"/>
      <c r="D18" s="27"/>
      <c r="E18" s="27"/>
      <c r="F18" s="27"/>
      <c r="G18" s="50"/>
      <c r="H18" s="50"/>
      <c r="I18" s="50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56" t="s">
        <v>164</v>
      </c>
      <c r="D19" s="56"/>
      <c r="E19" s="57" t="str">
        <f>VLOOKUP(C10,'Formato descripción HU'!B6:O22,14,0)</f>
        <v>Mostrar nivel principiante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28"/>
    </row>
    <row r="20" spans="2:16" ht="19.5" customHeight="1">
      <c r="B20" s="24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46" t="s">
        <v>165</v>
      </c>
      <c r="D22" s="46"/>
      <c r="E22" s="58" t="str">
        <f>VLOOKUP(C10,'Formato descripción HU'!B6:O22,12,0)</f>
        <v>Si el filtro no encuentra nada, se muestra "no hay coincidencias". Si no se carga el contenido, muestra error.</v>
      </c>
      <c r="F22" s="58"/>
      <c r="G22" s="58"/>
      <c r="H22" s="58"/>
      <c r="I22" s="27"/>
      <c r="J22" s="46" t="s">
        <v>13</v>
      </c>
      <c r="K22" s="46"/>
      <c r="L22" s="49">
        <f>VLOOKUP(C10,'Formato descripción HU'!B6:O22,13,0)</f>
        <v>0</v>
      </c>
      <c r="M22" s="49"/>
      <c r="N22" s="49"/>
      <c r="O22" s="49"/>
      <c r="P22" s="28"/>
    </row>
    <row r="23" spans="2:16" ht="19.5" customHeight="1">
      <c r="B23" s="24"/>
      <c r="C23" s="46"/>
      <c r="D23" s="46"/>
      <c r="E23" s="58"/>
      <c r="F23" s="58"/>
      <c r="G23" s="58"/>
      <c r="H23" s="58"/>
      <c r="I23" s="27"/>
      <c r="J23" s="46"/>
      <c r="K23" s="46"/>
      <c r="L23" s="49"/>
      <c r="M23" s="49"/>
      <c r="N23" s="49"/>
      <c r="O23" s="49"/>
      <c r="P23" s="28"/>
    </row>
    <row r="24" spans="2:16" ht="19.5" customHeight="1">
      <c r="B24" s="24"/>
      <c r="C24" s="46"/>
      <c r="D24" s="46"/>
      <c r="E24" s="58"/>
      <c r="F24" s="58"/>
      <c r="G24" s="58"/>
      <c r="H24" s="58"/>
      <c r="I24" s="27"/>
      <c r="J24" s="46"/>
      <c r="K24" s="46"/>
      <c r="L24" s="49"/>
      <c r="M24" s="49"/>
      <c r="N24" s="49"/>
      <c r="O24" s="49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11" priority="1" operator="equal">
      <formula>"Atrasado"</formula>
    </cfRule>
    <cfRule type="cellIs" dxfId="10" priority="2" operator="equal">
      <formula>"Terminado"</formula>
    </cfRule>
    <cfRule type="cellIs" dxfId="9" priority="3" operator="equal">
      <formula>"En proceso"</formula>
    </cfRule>
    <cfRule type="cellIs" dxfId="8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4F8F681-72D7-411E-B7F2-A3C29E3BD185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914-9FFB-43FE-B2BA-A1C6B66DC468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38"/>
      <c r="D4" s="38"/>
      <c r="E4" s="38"/>
      <c r="F4" s="39"/>
    </row>
    <row r="5" spans="2:16" hidden="1">
      <c r="C5" s="38"/>
      <c r="D5" s="38"/>
      <c r="E5" s="38"/>
      <c r="F5" s="39"/>
    </row>
    <row r="6" spans="2:16" ht="39.75" customHeight="1">
      <c r="B6" s="40" t="s">
        <v>157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2:16" ht="9.75" customHeight="1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6" ht="9.75" customHeight="1">
      <c r="B8" s="19"/>
      <c r="C8" s="42"/>
      <c r="D8" s="42"/>
      <c r="E8" s="42"/>
      <c r="F8" s="43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44" t="s">
        <v>1</v>
      </c>
      <c r="D9" s="45"/>
      <c r="E9" s="46" t="s">
        <v>158</v>
      </c>
      <c r="F9" s="46"/>
      <c r="G9" s="45"/>
      <c r="H9" s="46" t="s">
        <v>11</v>
      </c>
      <c r="I9" s="46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47" t="s">
        <v>45</v>
      </c>
      <c r="D10" s="48"/>
      <c r="E10" s="49" t="str">
        <f>VLOOKUP(C10,'Formato descripción HU'!B6:O22,5,0)</f>
        <v>Padre</v>
      </c>
      <c r="F10" s="49"/>
      <c r="G10" s="50"/>
      <c r="H10" s="49" t="str">
        <f>VLOOKUP(C10,'Formato descripción HU'!B6:O22,11,0)</f>
        <v>No iniciado</v>
      </c>
      <c r="I10" s="49"/>
      <c r="J10" s="50"/>
      <c r="K10" s="27"/>
      <c r="L10" s="27"/>
      <c r="M10" s="27"/>
      <c r="N10" s="27"/>
      <c r="O10" s="27"/>
      <c r="P10" s="28"/>
    </row>
    <row r="11" spans="2:16" ht="9.75" customHeight="1">
      <c r="B11" s="24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27"/>
      <c r="N11" s="52"/>
      <c r="O11" s="52"/>
      <c r="P11" s="28"/>
    </row>
    <row r="12" spans="2:16" ht="30" customHeight="1">
      <c r="B12" s="24"/>
      <c r="C12" s="44" t="s">
        <v>159</v>
      </c>
      <c r="D12" s="48"/>
      <c r="E12" s="46" t="s">
        <v>10</v>
      </c>
      <c r="F12" s="46"/>
      <c r="G12" s="50"/>
      <c r="H12" s="46" t="s">
        <v>160</v>
      </c>
      <c r="I12" s="46"/>
      <c r="J12" s="50"/>
      <c r="K12" s="52"/>
      <c r="L12" s="52"/>
      <c r="M12" s="27"/>
      <c r="N12" s="52"/>
      <c r="O12" s="52"/>
      <c r="P12" s="28"/>
    </row>
    <row r="13" spans="2:16" ht="30" customHeight="1">
      <c r="B13" s="24"/>
      <c r="C13" s="47" t="str">
        <f>VLOOKUP('RF3.2.1 - Historia de Usuario'!C10,'Formato descripción HU'!B6:O22,8,0)</f>
        <v>6 horas</v>
      </c>
      <c r="D13" s="48"/>
      <c r="E13" s="49">
        <f>VLOOKUP(C10,'Formato descripción HU'!B6:O22,10,0)</f>
        <v>0</v>
      </c>
      <c r="F13" s="49"/>
      <c r="G13" s="50"/>
      <c r="H13" s="49">
        <f>VLOOKUP(C10,'Formato descripción HU'!B6:O22,7,0)</f>
        <v>0</v>
      </c>
      <c r="I13" s="49"/>
      <c r="J13" s="50"/>
      <c r="K13" s="52"/>
      <c r="L13" s="52"/>
      <c r="M13" s="27"/>
      <c r="N13" s="52"/>
      <c r="O13" s="52"/>
      <c r="P13" s="28"/>
    </row>
    <row r="14" spans="2:16" ht="9.75" customHeight="1">
      <c r="B14" s="24"/>
      <c r="C14" s="27"/>
      <c r="D14" s="48"/>
      <c r="E14" s="27"/>
      <c r="F14" s="27"/>
      <c r="G14" s="50"/>
      <c r="H14" s="50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53" t="s">
        <v>161</v>
      </c>
      <c r="D15" s="54" t="str">
        <f>VLOOKUP(C10,'Formato descripción HU'!B6:O22,3,0)</f>
        <v>Realizar una práctica para seleccionar la seña correcta.</v>
      </c>
      <c r="E15" s="54"/>
      <c r="F15" s="34"/>
      <c r="G15" s="53" t="s">
        <v>162</v>
      </c>
      <c r="H15" s="54" t="str">
        <f>VLOOKUP(C10,'Formato descripción HU'!B6:O22,4,0)</f>
        <v>Para que el sistema valide mi selección, me dé retroalimentación (Correcto/Incorrecto) y registre el resultado.</v>
      </c>
      <c r="I15" s="54"/>
      <c r="J15" s="54"/>
      <c r="K15" s="34"/>
      <c r="L15" s="53" t="s">
        <v>163</v>
      </c>
      <c r="M15" s="55" t="str">
        <f>VLOOKUP(C10,'Formato descripción HU'!B6:O22,6,0)</f>
        <v>El sistema muestra una seña y varias opciones. El padre elige una. El sistema da feedback y avanza.</v>
      </c>
      <c r="N15" s="55"/>
      <c r="O15" s="55"/>
      <c r="P15" s="28"/>
    </row>
    <row r="16" spans="2:16" ht="19.5" customHeight="1">
      <c r="B16" s="24"/>
      <c r="C16" s="53"/>
      <c r="D16" s="54"/>
      <c r="E16" s="54"/>
      <c r="F16" s="34"/>
      <c r="G16" s="53"/>
      <c r="H16" s="54"/>
      <c r="I16" s="54"/>
      <c r="J16" s="54"/>
      <c r="K16" s="34"/>
      <c r="L16" s="53"/>
      <c r="M16" s="55"/>
      <c r="N16" s="55"/>
      <c r="O16" s="55"/>
      <c r="P16" s="28"/>
    </row>
    <row r="17" spans="2:16" ht="19.5" customHeight="1">
      <c r="B17" s="24"/>
      <c r="C17" s="53"/>
      <c r="D17" s="54"/>
      <c r="E17" s="54"/>
      <c r="F17" s="34"/>
      <c r="G17" s="53"/>
      <c r="H17" s="54"/>
      <c r="I17" s="54"/>
      <c r="J17" s="54"/>
      <c r="K17" s="34"/>
      <c r="L17" s="53"/>
      <c r="M17" s="55"/>
      <c r="N17" s="55"/>
      <c r="O17" s="55"/>
      <c r="P17" s="28"/>
    </row>
    <row r="18" spans="2:16" ht="9.75" customHeight="1">
      <c r="B18" s="24"/>
      <c r="C18" s="27"/>
      <c r="D18" s="27"/>
      <c r="E18" s="27"/>
      <c r="F18" s="27"/>
      <c r="G18" s="50"/>
      <c r="H18" s="50"/>
      <c r="I18" s="50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56" t="s">
        <v>164</v>
      </c>
      <c r="D19" s="56"/>
      <c r="E19" s="57" t="str">
        <f>VLOOKUP(C10,'Formato descripción HU'!B6:O22,14,0)</f>
        <v>Seleccionar seña correcta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28"/>
    </row>
    <row r="20" spans="2:16" ht="19.5" customHeight="1">
      <c r="B20" s="24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46" t="s">
        <v>165</v>
      </c>
      <c r="D22" s="46"/>
      <c r="E22" s="58" t="str">
        <f>VLOOKUP(C10,'Formato descripción HU'!B6:O22,12,0)</f>
        <v>Si no se carga la práctica, muestra error. El sistema debe dar feedback "Correcto" o "Incorrecto".</v>
      </c>
      <c r="F22" s="58"/>
      <c r="G22" s="58"/>
      <c r="H22" s="58"/>
      <c r="I22" s="27"/>
      <c r="J22" s="46" t="s">
        <v>13</v>
      </c>
      <c r="K22" s="46"/>
      <c r="L22" s="49">
        <f>VLOOKUP(C10,'Formato descripción HU'!B6:O22,13,0)</f>
        <v>0</v>
      </c>
      <c r="M22" s="49"/>
      <c r="N22" s="49"/>
      <c r="O22" s="49"/>
      <c r="P22" s="28"/>
    </row>
    <row r="23" spans="2:16" ht="19.5" customHeight="1">
      <c r="B23" s="24"/>
      <c r="C23" s="46"/>
      <c r="D23" s="46"/>
      <c r="E23" s="58"/>
      <c r="F23" s="58"/>
      <c r="G23" s="58"/>
      <c r="H23" s="58"/>
      <c r="I23" s="27"/>
      <c r="J23" s="46"/>
      <c r="K23" s="46"/>
      <c r="L23" s="49"/>
      <c r="M23" s="49"/>
      <c r="N23" s="49"/>
      <c r="O23" s="49"/>
      <c r="P23" s="28"/>
    </row>
    <row r="24" spans="2:16" ht="19.5" customHeight="1">
      <c r="B24" s="24"/>
      <c r="C24" s="46"/>
      <c r="D24" s="46"/>
      <c r="E24" s="58"/>
      <c r="F24" s="58"/>
      <c r="G24" s="58"/>
      <c r="H24" s="58"/>
      <c r="I24" s="27"/>
      <c r="J24" s="46"/>
      <c r="K24" s="46"/>
      <c r="L24" s="49"/>
      <c r="M24" s="49"/>
      <c r="N24" s="49"/>
      <c r="O24" s="49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  <mergeCell ref="E12:F12"/>
    <mergeCell ref="H12:I12"/>
  </mergeCells>
  <conditionalFormatting sqref="H10:I11">
    <cfRule type="cellIs" dxfId="7" priority="1" operator="equal">
      <formula>"Atrasado"</formula>
    </cfRule>
    <cfRule type="cellIs" dxfId="6" priority="2" operator="equal">
      <formula>"Terminado"</formula>
    </cfRule>
    <cfRule type="cellIs" dxfId="5" priority="3" operator="equal">
      <formula>"En proceso"</formula>
    </cfRule>
    <cfRule type="cellIs" dxfId="4" priority="4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A65F7BB-48DD-4BA4-BCE2-6372E4125E3C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zoomScaleNormal="100" workbookViewId="0"/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16"/>
      <c r="D4" s="16"/>
      <c r="E4" s="16"/>
      <c r="F4" s="17"/>
    </row>
    <row r="5" spans="2:16" hidden="1">
      <c r="C5" s="16"/>
      <c r="D5" s="16"/>
      <c r="E5" s="16"/>
      <c r="F5" s="17"/>
    </row>
    <row r="6" spans="2:16" ht="39.75" customHeight="1">
      <c r="B6" s="9" t="s">
        <v>157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2:16" ht="9.75" customHeight="1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2:16" ht="9.75" customHeight="1">
      <c r="B8" s="19"/>
      <c r="C8" s="20"/>
      <c r="D8" s="20"/>
      <c r="E8" s="20"/>
      <c r="F8" s="21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2:16" ht="30" customHeight="1">
      <c r="B9" s="24"/>
      <c r="C9" s="25" t="s">
        <v>1</v>
      </c>
      <c r="D9" s="26"/>
      <c r="E9" s="8" t="s">
        <v>158</v>
      </c>
      <c r="F9" s="8"/>
      <c r="G9" s="26"/>
      <c r="H9" s="8" t="s">
        <v>11</v>
      </c>
      <c r="I9" s="8"/>
      <c r="J9" s="27"/>
      <c r="K9" s="27"/>
      <c r="L9" s="27"/>
      <c r="M9" s="27"/>
      <c r="N9" s="27"/>
      <c r="O9" s="27"/>
      <c r="P9" s="28"/>
    </row>
    <row r="10" spans="2:16" ht="30" customHeight="1">
      <c r="B10" s="24"/>
      <c r="C10" s="29" t="s">
        <v>45</v>
      </c>
      <c r="D10" s="30"/>
      <c r="E10" s="7" t="str">
        <f>VLOOKUP(C10,'Formato descripción HU'!B6:O22,5,0)</f>
        <v>Padre</v>
      </c>
      <c r="F10" s="7"/>
      <c r="G10" s="31"/>
      <c r="H10" s="7" t="str">
        <f>VLOOKUP(C10,'Formato descripción HU'!B6:O22,11,0)</f>
        <v>No iniciado</v>
      </c>
      <c r="I10" s="7"/>
      <c r="J10" s="31"/>
      <c r="K10" s="27"/>
      <c r="L10" s="27"/>
      <c r="M10" s="27"/>
      <c r="N10" s="27"/>
      <c r="O10" s="27"/>
      <c r="P10" s="28"/>
    </row>
    <row r="11" spans="2:16" ht="9.75" customHeight="1">
      <c r="B11" s="24"/>
      <c r="C11" s="32"/>
      <c r="D11" s="30"/>
      <c r="E11" s="33"/>
      <c r="F11" s="33"/>
      <c r="G11" s="31"/>
      <c r="H11" s="33"/>
      <c r="I11" s="33"/>
      <c r="J11" s="31"/>
      <c r="K11" s="33"/>
      <c r="L11" s="33"/>
      <c r="M11" s="27"/>
      <c r="N11" s="33"/>
      <c r="O11" s="33"/>
      <c r="P11" s="28"/>
    </row>
    <row r="12" spans="2:16" ht="30" customHeight="1">
      <c r="B12" s="24"/>
      <c r="C12" s="25" t="s">
        <v>159</v>
      </c>
      <c r="D12" s="30"/>
      <c r="E12" s="8" t="s">
        <v>10</v>
      </c>
      <c r="F12" s="8"/>
      <c r="G12" s="31"/>
      <c r="H12" s="8" t="s">
        <v>160</v>
      </c>
      <c r="I12" s="8"/>
      <c r="J12" s="31"/>
      <c r="K12" s="33"/>
      <c r="L12" s="33"/>
      <c r="M12" s="27"/>
      <c r="N12" s="33"/>
      <c r="O12" s="33"/>
      <c r="P12" s="28"/>
    </row>
    <row r="13" spans="2:16" ht="30" customHeight="1">
      <c r="B13" s="24"/>
      <c r="C13" s="29" t="str">
        <f>VLOOKUP('Historia de Usuario'!C10,'Formato descripción HU'!B6:O22,8,0)</f>
        <v>6 horas</v>
      </c>
      <c r="D13" s="30"/>
      <c r="E13" s="7">
        <f>VLOOKUP(C10,'Formato descripción HU'!B6:O22,10,0)</f>
        <v>0</v>
      </c>
      <c r="F13" s="7"/>
      <c r="G13" s="31"/>
      <c r="H13" s="7">
        <f>VLOOKUP(C10,'Formato descripción HU'!B6:O22,7,0)</f>
        <v>0</v>
      </c>
      <c r="I13" s="7"/>
      <c r="J13" s="31"/>
      <c r="K13" s="33"/>
      <c r="L13" s="33"/>
      <c r="M13" s="27"/>
      <c r="N13" s="33"/>
      <c r="O13" s="33"/>
      <c r="P13" s="28"/>
    </row>
    <row r="14" spans="2:16" ht="9.75" customHeight="1">
      <c r="B14" s="24"/>
      <c r="C14" s="27"/>
      <c r="D14" s="30"/>
      <c r="E14" s="27"/>
      <c r="F14" s="27"/>
      <c r="G14" s="31"/>
      <c r="H14" s="31"/>
      <c r="I14" s="27"/>
      <c r="J14" s="27"/>
      <c r="K14" s="27"/>
      <c r="L14" s="27"/>
      <c r="M14" s="27"/>
      <c r="N14" s="27"/>
      <c r="O14" s="27"/>
      <c r="P14" s="28"/>
    </row>
    <row r="15" spans="2:16" ht="19.5" customHeight="1">
      <c r="B15" s="24"/>
      <c r="C15" s="6" t="s">
        <v>161</v>
      </c>
      <c r="D15" s="5" t="str">
        <f>VLOOKUP(C10,'Formato descripción HU'!B6:O22,3,0)</f>
        <v>Realizar una práctica para seleccionar la seña correcta.</v>
      </c>
      <c r="E15" s="5"/>
      <c r="F15" s="34"/>
      <c r="G15" s="6" t="s">
        <v>162</v>
      </c>
      <c r="H15" s="5" t="str">
        <f>VLOOKUP(C10,'Formato descripción HU'!B6:O22,4,0)</f>
        <v>Para que el sistema valide mi selección, me dé retroalimentación (Correcto/Incorrecto) y registre el resultado.</v>
      </c>
      <c r="I15" s="5"/>
      <c r="J15" s="5"/>
      <c r="K15" s="34"/>
      <c r="L15" s="6" t="s">
        <v>163</v>
      </c>
      <c r="M15" s="4" t="str">
        <f>VLOOKUP(C10,'Formato descripción HU'!B6:O22,6,0)</f>
        <v>El sistema muestra una seña y varias opciones. El padre elige una. El sistema da feedback y avanza.</v>
      </c>
      <c r="N15" s="4"/>
      <c r="O15" s="4"/>
      <c r="P15" s="28"/>
    </row>
    <row r="16" spans="2:16" ht="19.5" customHeight="1">
      <c r="B16" s="24"/>
      <c r="C16" s="6"/>
      <c r="D16" s="5"/>
      <c r="E16" s="5"/>
      <c r="F16" s="34"/>
      <c r="G16" s="6"/>
      <c r="H16" s="5"/>
      <c r="I16" s="5"/>
      <c r="J16" s="5"/>
      <c r="K16" s="34"/>
      <c r="L16" s="6"/>
      <c r="M16" s="4"/>
      <c r="N16" s="4"/>
      <c r="O16" s="4"/>
      <c r="P16" s="28"/>
    </row>
    <row r="17" spans="2:16" ht="19.5" customHeight="1">
      <c r="B17" s="24"/>
      <c r="C17" s="6"/>
      <c r="D17" s="5"/>
      <c r="E17" s="5"/>
      <c r="F17" s="34"/>
      <c r="G17" s="6"/>
      <c r="H17" s="5"/>
      <c r="I17" s="5"/>
      <c r="J17" s="5"/>
      <c r="K17" s="34"/>
      <c r="L17" s="6"/>
      <c r="M17" s="4"/>
      <c r="N17" s="4"/>
      <c r="O17" s="4"/>
      <c r="P17" s="28"/>
    </row>
    <row r="18" spans="2:16" ht="9.75" customHeight="1">
      <c r="B18" s="24"/>
      <c r="C18" s="27"/>
      <c r="D18" s="27"/>
      <c r="E18" s="27"/>
      <c r="F18" s="27"/>
      <c r="G18" s="31"/>
      <c r="H18" s="31"/>
      <c r="I18" s="31"/>
      <c r="J18" s="27"/>
      <c r="K18" s="27"/>
      <c r="L18" s="27"/>
      <c r="M18" s="27"/>
      <c r="N18" s="27"/>
      <c r="O18" s="27"/>
      <c r="P18" s="28"/>
    </row>
    <row r="19" spans="2:16" ht="19.5" customHeight="1">
      <c r="B19" s="24"/>
      <c r="C19" s="3" t="s">
        <v>164</v>
      </c>
      <c r="D19" s="3"/>
      <c r="E19" s="2" t="str">
        <f>VLOOKUP(C10,'Formato descripción HU'!B6:O22,14,0)</f>
        <v>Seleccionar seña correcta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8"/>
    </row>
    <row r="20" spans="2:16" ht="19.5" customHeight="1">
      <c r="B20" s="24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8"/>
    </row>
    <row r="21" spans="2:16" ht="9.75" customHeight="1">
      <c r="B21" s="2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19.5" customHeight="1">
      <c r="B22" s="24"/>
      <c r="C22" s="8" t="s">
        <v>165</v>
      </c>
      <c r="D22" s="8"/>
      <c r="E22" s="1" t="str">
        <f>VLOOKUP(C10,'Formato descripción HU'!B6:O22,12,0)</f>
        <v>Si no se carga la práctica, muestra error. El sistema debe dar feedback "Correcto" o "Incorrecto".</v>
      </c>
      <c r="F22" s="1"/>
      <c r="G22" s="1"/>
      <c r="H22" s="1"/>
      <c r="I22" s="27"/>
      <c r="J22" s="8" t="s">
        <v>13</v>
      </c>
      <c r="K22" s="8"/>
      <c r="L22" s="7">
        <f>VLOOKUP(C10,'Formato descripción HU'!B6:O22,13,0)</f>
        <v>0</v>
      </c>
      <c r="M22" s="7"/>
      <c r="N22" s="7"/>
      <c r="O22" s="7"/>
      <c r="P22" s="28"/>
    </row>
    <row r="23" spans="2:16" ht="19.5" customHeight="1">
      <c r="B23" s="24"/>
      <c r="C23" s="8"/>
      <c r="D23" s="8"/>
      <c r="E23" s="1"/>
      <c r="F23" s="1"/>
      <c r="G23" s="1"/>
      <c r="H23" s="1"/>
      <c r="I23" s="27"/>
      <c r="J23" s="8"/>
      <c r="K23" s="8"/>
      <c r="L23" s="7"/>
      <c r="M23" s="7"/>
      <c r="N23" s="7"/>
      <c r="O23" s="7"/>
      <c r="P23" s="28"/>
    </row>
    <row r="24" spans="2:16" ht="19.5" customHeight="1">
      <c r="B24" s="24"/>
      <c r="C24" s="8"/>
      <c r="D24" s="8"/>
      <c r="E24" s="1"/>
      <c r="F24" s="1"/>
      <c r="G24" s="1"/>
      <c r="H24" s="1"/>
      <c r="I24" s="27"/>
      <c r="J24" s="8"/>
      <c r="K24" s="8"/>
      <c r="L24" s="7"/>
      <c r="M24" s="7"/>
      <c r="N24" s="7"/>
      <c r="O24" s="7"/>
      <c r="P24" s="28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5:L17"/>
    <mergeCell ref="M15:O17"/>
    <mergeCell ref="C19:D20"/>
    <mergeCell ref="E19:O20"/>
    <mergeCell ref="C22:D24"/>
    <mergeCell ref="E22:H24"/>
    <mergeCell ref="J22:K24"/>
    <mergeCell ref="L22:O24"/>
    <mergeCell ref="E12:F12"/>
    <mergeCell ref="H12:I12"/>
    <mergeCell ref="E13:F13"/>
    <mergeCell ref="H13:I13"/>
    <mergeCell ref="C15:C17"/>
    <mergeCell ref="D15:E17"/>
    <mergeCell ref="G15:G17"/>
    <mergeCell ref="H15:J17"/>
    <mergeCell ref="B6:P6"/>
    <mergeCell ref="E9:F9"/>
    <mergeCell ref="H9:I9"/>
    <mergeCell ref="E10:F10"/>
    <mergeCell ref="H10:I10"/>
  </mergeCells>
  <conditionalFormatting sqref="H10:I11">
    <cfRule type="cellIs" dxfId="3" priority="2" operator="equal">
      <formula>"Atrasado"</formula>
    </cfRule>
    <cfRule type="cellIs" dxfId="2" priority="3" operator="equal">
      <formula>"Terminado"</formula>
    </cfRule>
    <cfRule type="cellIs" dxfId="1" priority="4" operator="equal">
      <formula>"En proceso"</formula>
    </cfRule>
    <cfRule type="cellIs" dxfId="0" priority="5" operator="equal">
      <formula>"No Iniciado"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14:formula2>
            <xm:f>0</xm:f>
          </x14:formula2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>1</cp:revision>
  <dcterms:created xsi:type="dcterms:W3CDTF">2025-11-11T12:29:14Z</dcterms:created>
  <dcterms:modified xsi:type="dcterms:W3CDTF">2025-11-13T16:53:00Z</dcterms:modified>
  <cp:category/>
  <cp:contentStatus/>
</cp:coreProperties>
</file>