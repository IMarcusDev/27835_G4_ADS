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FF6665C1-3343-4E70-BD84-94EED82A06E9}" xr6:coauthVersionLast="47" xr6:coauthVersionMax="47" xr10:uidLastSave="{00000000-0000-0000-0000-000000000000}"/>
  <bookViews>
    <workbookView xWindow="-110" yWindow="-110" windowWidth="19420" windowHeight="11020" firstSheet="2" activeTab="2" xr2:uid="{00000000-000D-0000-FFFF-FFFF00000000}"/>
  </bookViews>
  <sheets>
    <sheet name="Backlog" sheetId="1" r:id="rId1"/>
    <sheet name="sprint0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K66" i="2" l="1"/>
  <c r="K53" i="2"/>
  <c r="K39" i="2"/>
  <c r="K26" i="2"/>
  <c r="K14" i="2"/>
  <c r="C10" i="3"/>
  <c r="D10" i="3" s="1"/>
  <c r="E10" i="3" s="1"/>
  <c r="F10" i="3" s="1"/>
  <c r="G10" i="3" s="1"/>
  <c r="H10" i="3" s="1"/>
  <c r="C11" i="3"/>
  <c r="D11" i="3" s="1"/>
  <c r="E11" i="3" s="1"/>
  <c r="F11" i="3" s="1"/>
  <c r="G11" i="3" s="1"/>
  <c r="H11" i="3" s="1"/>
  <c r="I6" i="3"/>
  <c r="I7" i="3"/>
  <c r="I8" i="3"/>
  <c r="I5" i="3"/>
  <c r="I4" i="3"/>
  <c r="L69" i="2" l="1"/>
</calcChain>
</file>

<file path=xl/sharedStrings.xml><?xml version="1.0" encoding="utf-8"?>
<sst xmlns="http://schemas.openxmlformats.org/spreadsheetml/2006/main" count="469" uniqueCount="230">
  <si>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</si>
  <si>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</si>
  <si>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</si>
  <si>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</si>
  <si>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</si>
  <si>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</si>
  <si>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</si>
  <si>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</si>
  <si>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RF001</t>
  </si>
  <si>
    <t>Registrar Usuario</t>
  </si>
  <si>
    <t>Padre o docente</t>
  </si>
  <si>
    <t>Registrarse ingresando datos personales y rol.</t>
  </si>
  <si>
    <t>Crear una cuenta única para acceder a los servicios de la app.</t>
  </si>
  <si>
    <t>Es crítico informar claramente al usuario si el correo ya está en uso para evitar confusión, y asegurar que la contraseña nunca viaje en texto plano.</t>
  </si>
  <si>
    <t>Alta</t>
  </si>
  <si>
    <t>Terminado</t>
  </si>
  <si>
    <t>RF002</t>
  </si>
  <si>
    <t>Iniciar Sesión</t>
  </si>
  <si>
    <t>Ingresar credenciales (correo/contraseña)</t>
  </si>
  <si>
    <t>Autenticarse de forma segura y acceder a las funciones propias de mi rol.</t>
  </si>
  <si>
    <t>Por seguridad, los mensajes de error no deben especificar si falló el correo o la contraseña para prevenir ataques de enumeración de usuarios.</t>
  </si>
  <si>
    <t>RF003</t>
  </si>
  <si>
    <t>Realizar Prueba de Conocimiento</t>
  </si>
  <si>
    <t>Padre</t>
  </si>
  <si>
    <t>Realizar prueba de conocimiento inicial (Cuestionario).</t>
  </si>
  <si>
    <t>Determinar mi nivel (Principiante/Intermedio) y categoría etaria para personalizar el contenido.</t>
  </si>
  <si>
    <t>Este cuestionario es un paso obligatorio en el primer acceso; se debe asegurar que el usuario no pueda navegar a otras secciones sin completarlo.</t>
  </si>
  <si>
    <t>En Proceso</t>
  </si>
  <si>
    <t>RF004</t>
  </si>
  <si>
    <t>Importar Contenido</t>
  </si>
  <si>
    <t>Docente</t>
  </si>
  <si>
    <t>Subir videos e imágenes con sus respectivos metadatos.</t>
  </si>
  <si>
    <t>Poblar el sistema con lecciones estructuradas para el aprendizaje de los padres.</t>
  </si>
  <si>
    <t>Dado el tamaño de los archivos, es importante mostrar una barra de progreso real para evitar que el usuario piense que el sistema se congeló.</t>
  </si>
  <si>
    <t>RF005</t>
  </si>
  <si>
    <t>Categorizar Frases Comunes</t>
  </si>
  <si>
    <t>Navegar un diccionario categorizado de frases comunes.</t>
  </si>
  <si>
    <t>Consultar señas rápidas (baño, comer) sin necesidad de entrar a una lección.</t>
  </si>
  <si>
    <t>Los videos en esta sección deben ser cortos y reproducirse en bucle automáticamente para funcionar como una referencia rápida y ágil.</t>
  </si>
  <si>
    <t>No iniciado</t>
  </si>
  <si>
    <t>RF006</t>
  </si>
  <si>
    <t>Generar Código de Clase</t>
  </si>
  <si>
    <t>Generar un código único para una nueva clase.</t>
  </si>
  <si>
    <t>Compartir el acceso de manera sencilla y agrupar a los padres en una lista de seguimiento.</t>
  </si>
  <si>
    <t>El código generado debe ser fácil de leer y dictar, evitando caracteres ambiguos como la 'O' y el '0' o la 'I' y el '1'.</t>
  </si>
  <si>
    <t>RF007</t>
  </si>
  <si>
    <t>Enlazar Clase</t>
  </si>
  <si>
    <t>Ingresar el código de clase proporcionado por el docente.</t>
  </si>
  <si>
    <t>Desbloquear los contenidos asignados y permitir el seguimiento del docente.</t>
  </si>
  <si>
    <t>Se debe considerar que, en esta versión, un padre solo puede pertenecer a una clase activa a la vez para no fragmentar el reporte de progreso.</t>
  </si>
  <si>
    <t>RF008</t>
  </si>
  <si>
    <t>Categorizar Aprendizaje de Señas</t>
  </si>
  <si>
    <t>Ver contenidos filtrados por la edad del hijo (1-3, 3-5 años).</t>
  </si>
  <si>
    <t>Acceder solo al material relevante para mi contexto familiar y nivel educativo.</t>
  </si>
  <si>
    <t>Si una categoría aún no tiene contenido cargado por el docente, el sistema debe ocultarla o mostrar un mensaje amigable de "Próximamente".</t>
  </si>
  <si>
    <t>RF008.1</t>
  </si>
  <si>
    <t>Practicar Señas en Nivel Principiante</t>
  </si>
  <si>
    <t>Visualizar contenido de nivel principiante (videos e imágenes).</t>
  </si>
  <si>
    <t>Familiarizarse con el vocabulario básico y señas fundamentales.</t>
  </si>
  <si>
    <t>Es importante implementar "Lazy Loading" en las imágenes para no saturar la memoria del dispositivo al cargar la lista.</t>
  </si>
  <si>
    <t>RF008.2</t>
  </si>
  <si>
    <t>Practicar Señas en Nivel Intermedio</t>
  </si>
  <si>
    <t>Practicar señas en nivel intermedio con selección y asociación.</t>
  </si>
  <si>
    <t>Reforzar la memoria visual y la relación concepto-seña.</t>
  </si>
  <si>
    <t>Este módulo actúa como contenedor de los ejercicios RF008.2.1 y RF008.2.2; su correcta navegación es vital.</t>
  </si>
  <si>
    <t>RF008.2.1</t>
  </si>
  <si>
    <t>Seleccionar Seña Correcta</t>
  </si>
  <si>
    <t>Seleccionar la palabra correcta correspondiente a un video de seña.</t>
  </si>
  <si>
    <t>Validar si reconozco visualmente el vocabulario aprendido en la lección.</t>
  </si>
  <si>
    <t>Las opciones de respuesta deben ordenarse aleatoriamente en cada intento para evitar que el usuario memorice la posición en lugar del concepto.</t>
  </si>
  <si>
    <t>RF008.2.2</t>
  </si>
  <si>
    <t>Practicar por Asociación Visual</t>
  </si>
  <si>
    <t>Arrastrar imágenes hacia sus etiquetas de texto correspondientes.</t>
  </si>
  <si>
    <t>Reforzar la conexión mental entre la imagen de la seña y la palabra escrita.</t>
  </si>
  <si>
    <t>Es vital que la zona táctil de arrastre sea lo suficientemente grande para asegurar la usabilidad en pantallas de móviles pequeñas.</t>
  </si>
  <si>
    <t>RF008.3</t>
  </si>
  <si>
    <t>Practicar Señas en Nivel Avanzado</t>
  </si>
  <si>
    <t>Practicar señas en nivel avanzado con uso de cámara.</t>
  </si>
  <si>
    <t>Perfeccionar la técnica y fluidez mediante la imitación y producción de señas.</t>
  </si>
  <si>
    <t>Este nivel requiere mayor procesamiento del dispositivo; se debe advertir al usuario si su batería es baja</t>
  </si>
  <si>
    <t>RF008.3.1</t>
  </si>
  <si>
    <t>Practicar Señas con Ejemplo Visual</t>
  </si>
  <si>
    <t>Imitar una seña frente a la cámara con guía visual en pantalla.</t>
  </si>
  <si>
    <t>Verificar si mi ejecución física de la seña es correcta mediante comparación.</t>
  </si>
  <si>
    <t>La funcionalidad depende de la iluminación ambiental; el sistema debe advertir al usuario si la cámara detecta oscuridad excesiva.</t>
  </si>
  <si>
    <t>RF008.3.2</t>
  </si>
  <si>
    <t>Practicar Imitación de Señas por Audio</t>
  </si>
  <si>
    <t>Escuchar un audio e imitar la seña correspondiente frente a la cámara.</t>
  </si>
  <si>
    <t>Evaluar la memoria auditiva y la ejecución de la seña sin ver el ejemplo visual.</t>
  </si>
  <si>
    <t>Se debe verificar que el volumen del dispositivo no esté en silencio antes de iniciar para asegurar que el usuario escuche la instrucción.</t>
  </si>
  <si>
    <t>RF009</t>
  </si>
  <si>
    <t>Visualizar Progreso</t>
  </si>
  <si>
    <t>Visualizar gráficos de progreso y errores de los padres alumnos.</t>
  </si>
  <si>
    <t>Identificar qué estudiantes necesitan refuerzo en temas específicos.</t>
  </si>
  <si>
    <t>Los gráficos deben ser claros y sencillos; un exceso de información visual puede dificultar la interpretación rápida por parte del docente.</t>
  </si>
  <si>
    <t>RF010</t>
  </si>
  <si>
    <t>Ver Historial de Palabras Aprendidas</t>
  </si>
  <si>
    <t>Ver el historial detallado de palabras aprendidas por el estudiante.</t>
  </si>
  <si>
    <t>Conocer el léxico efectivo que el padre ya maneja para personalizar futuras prácticas.</t>
  </si>
  <si>
    <t>La lista de palabras puede crecer considerablemente con el tiempo; se debe considerar implementar paginación o un botón de "Ver más" si excede cierto número.</t>
  </si>
  <si>
    <t>RF011</t>
  </si>
  <si>
    <t xml:space="preserve">Comprar Membresía </t>
  </si>
  <si>
    <t>Comprar membresía mediante pago online con tarjeta.</t>
  </si>
  <si>
    <t>Acceder a las herramientas exclusivas como el traductor y juegos avanzados.</t>
  </si>
  <si>
    <t>No se deben almacenar datos completos de las tarjetas de crédito en la aplicación; toda transacción sensible debe delegarse a la pasarela segura.</t>
  </si>
  <si>
    <t>RF012</t>
  </si>
  <si>
    <t>Acceder a Contenido Exclusivo</t>
  </si>
  <si>
    <t>Validar el acceso a contenido exclusivo (Traductor/Juegos).</t>
  </si>
  <si>
    <t>Restringir las funciones avanzadas y garantizar la monetización del servicio.</t>
  </si>
  <si>
    <t>La validación debe ser extremadamente rápida para no afectar la experiencia del usuario Premium; se recomienda guardar el estado de la suscripción en el almacenamiento local seguro.</t>
  </si>
  <si>
    <t>RF012.1</t>
  </si>
  <si>
    <t>Traducir Texto Breve</t>
  </si>
  <si>
    <t>Escribir un texto breve y ver su traducción a señas.</t>
  </si>
  <si>
    <t>Comunicarme en tiempo real traduciendo frases nuevas que no están en las lecciones.</t>
  </si>
  <si>
    <t>Es importante notificar al usuario cuando la palabra no existe y se usa el deletreo, para que sepa que está viendo letras y no una seña completa.</t>
  </si>
  <si>
    <t>RF012.2</t>
  </si>
  <si>
    <t>Enseñar con Aprendizaje Dinámico</t>
  </si>
  <si>
    <t>Enseñar con aprendizaje dinámico (Juegos).</t>
  </si>
  <si>
    <t>Mantener el interés mediante actividades lúdicas gamificadas.</t>
  </si>
  <si>
    <t>Esta sección es exclusiva de usuarios Premium; debe validarse el estado de la suscripción antes de entrar.</t>
  </si>
  <si>
    <t>RF012.2.1</t>
  </si>
  <si>
    <t>Enseñar con Juego de Memoria</t>
  </si>
  <si>
    <t>Enseñar con juegos de memoria reconociendo señas.</t>
  </si>
  <si>
    <t>Evaluar la velocidad y precisión de reconocimiento en un entorno de juego</t>
  </si>
  <si>
    <t>Diferenciar visualmente del ejercicio de práctica normal (usar sonidos de juego, confeti, barras de vida).</t>
  </si>
  <si>
    <t>RF012.2.2</t>
  </si>
  <si>
    <t>Enseñar con Juegos de Imitación de Señas</t>
  </si>
  <si>
    <t>Enseñar con juegos de imitación de señas.</t>
  </si>
  <si>
    <t>Gamificar la producción de señas mediante retos de imitación.</t>
  </si>
  <si>
    <t>Requiere alta optimización del modelo de reconocimiento para no tener latencia (lag) durante el juego rápido.</t>
  </si>
  <si>
    <t>RF013</t>
  </si>
  <si>
    <t>Filtrar Contenido</t>
  </si>
  <si>
    <t>Filtrar contenido escribiendo palabras clave en un buscador.</t>
  </si>
  <si>
    <t>Encontrar una lección o seña específica rápidamente.</t>
  </si>
  <si>
    <t>El buscador debe ser insensible a mayúsculas, minúsculas y tildes para facilitar su uso a personas con distintos niveles de alfabetización.</t>
  </si>
  <si>
    <t>Media</t>
  </si>
  <si>
    <t>RF014</t>
  </si>
  <si>
    <t>Descargar Contenido del Sistema</t>
  </si>
  <si>
    <t>Descargar módulos completos al almacenamiento local del dispositivo.</t>
  </si>
  <si>
    <t>Estudiar y practicar en zonas sin conexión a internet.</t>
  </si>
  <si>
    <t>Es fundamental verificar el espacio disponible en el dispositivo antes de iniciar la descarga para evitar errores o corrupción de archivos.</t>
  </si>
  <si>
    <t>RF015</t>
  </si>
  <si>
    <t>Guía por Funcionalidad del Sistema</t>
  </si>
  <si>
    <t>Ver una guía interactiva durante el primer inicio de sesión.</t>
  </si>
  <si>
    <t>Entender rápidamente cómo enlazar una clase y empezar a usar la app.</t>
  </si>
  <si>
    <t>La guía debe ser opcional; el usuario debe tener siempre un botón visible para "Omitir" si prefiere explorar la aplicación por su cuenta.</t>
  </si>
  <si>
    <t>Baja</t>
  </si>
  <si>
    <t>Necesito</t>
  </si>
  <si>
    <t>así podre...</t>
  </si>
  <si>
    <t>Encargado</t>
  </si>
  <si>
    <t>Prioridad</t>
  </si>
  <si>
    <t>Status</t>
  </si>
  <si>
    <t>Mateo Sosa</t>
  </si>
  <si>
    <t>Tareas</t>
  </si>
  <si>
    <t>Estimado</t>
  </si>
  <si>
    <t>RF001 - 1</t>
  </si>
  <si>
    <t>Crear la API para la aplicación</t>
  </si>
  <si>
    <t>RF001 - 2</t>
  </si>
  <si>
    <t>Backend - Implementar endpoint de registro de usuario</t>
  </si>
  <si>
    <t>RF001 - 3</t>
  </si>
  <si>
    <t>Asignación automática del rol de padre al usuario registrado</t>
  </si>
  <si>
    <t>RF001 - 4</t>
  </si>
  <si>
    <t>Diseño de la interfaz de usuario: Registrar Usuario</t>
  </si>
  <si>
    <t>Fernando Tipán</t>
  </si>
  <si>
    <t>RF001 - 5</t>
  </si>
  <si>
    <t>Validación de datos obligatorios en el registro</t>
  </si>
  <si>
    <t>RF001 - 6</t>
  </si>
  <si>
    <t>Persistencia de usuario en la base de datos</t>
  </si>
  <si>
    <t>Marcos Escobar</t>
  </si>
  <si>
    <t>RF001 - 7</t>
  </si>
  <si>
    <t>Revisión y refactorización del código implementado</t>
  </si>
  <si>
    <t>RF002 - 1</t>
  </si>
  <si>
    <t>Implementar lógica de autenticación en backend</t>
  </si>
  <si>
    <t>RF002 - 2</t>
  </si>
  <si>
    <t>Gestionar mensajes de error y validaciones en el inicio de sesión</t>
  </si>
  <si>
    <t>RF002 - 3</t>
  </si>
  <si>
    <t>Diseño de la interfaz de usuario: Inicio de sesión</t>
  </si>
  <si>
    <t>RF002 - 4</t>
  </si>
  <si>
    <t>Conectar la interfaz de usuario con el backend de autenticación</t>
  </si>
  <si>
    <t>RF002 - 5</t>
  </si>
  <si>
    <t>Pruebas y refactorización de inicio de sesión</t>
  </si>
  <si>
    <t>Realizar Prueba de Conocimientos</t>
  </si>
  <si>
    <t>Determinar mi nivel (Principiante/Intermedio/Avanzado)</t>
  </si>
  <si>
    <t>En proceso</t>
  </si>
  <si>
    <t>RF003 - 1</t>
  </si>
  <si>
    <t>Funcionalidad de Transformación de Puntaje en Nivel Categórico</t>
  </si>
  <si>
    <t>RF003 - 2</t>
  </si>
  <si>
    <t>Mapeo Lógico y Programático de los Puntajes de cada Pregunta</t>
  </si>
  <si>
    <t>RF003 - 3</t>
  </si>
  <si>
    <t>Diseño de Interfaz de Usuario: Formulario de Conocimiento</t>
  </si>
  <si>
    <t>RF003 - 4</t>
  </si>
  <si>
    <t>Control de Errores por parte del Ingreso de Datos del Usuario</t>
  </si>
  <si>
    <t>RF003 - 5</t>
  </si>
  <si>
    <t>Conexión entre la lógica de negocio y la interfaz de usuario</t>
  </si>
  <si>
    <t>RF003 - 6</t>
  </si>
  <si>
    <t>RF004 - 1</t>
  </si>
  <si>
    <t>Generación de Nueva Ruta para Señas dentro de API</t>
  </si>
  <si>
    <t>RF004 - 2</t>
  </si>
  <si>
    <t>Generación de Nueva Ruta para Etiquetas dentro de API</t>
  </si>
  <si>
    <t>RF004 - 3</t>
  </si>
  <si>
    <t>Generación de Nueva Ruta para Sinónimos dentro de API</t>
  </si>
  <si>
    <t>RF004 - 4</t>
  </si>
  <si>
    <t>Implementación de Lógica de Negocio</t>
  </si>
  <si>
    <t>RF004 - 5</t>
  </si>
  <si>
    <t>Diseño de Interfaz de Usuario: Importación de Contenidos</t>
  </si>
  <si>
    <t>RF004 - 6</t>
  </si>
  <si>
    <t>RF004 - 7</t>
  </si>
  <si>
    <t>RF005 - 1</t>
  </si>
  <si>
    <t>Generación de Nueva Ruta para Obtención de Frases Comunes de API</t>
  </si>
  <si>
    <t>RF005 - 2</t>
  </si>
  <si>
    <t>RF005 - 3</t>
  </si>
  <si>
    <t>Diseño de Interfaz de Usuario: Listado de Frases Comunes</t>
  </si>
  <si>
    <t>RF005 - 4</t>
  </si>
  <si>
    <t>Diseño de Interfaz de Usuario: Cuadro de Frase Común</t>
  </si>
  <si>
    <t>RF005 - 5</t>
  </si>
  <si>
    <t>RF005 - 6</t>
  </si>
  <si>
    <t>Total Horas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</si>
  <si>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</si>
  <si>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</si>
  <si>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</si>
  <si>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</si>
  <si>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</si>
  <si>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</si>
  <si>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</si>
  <si>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</si>
  <si>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</si>
  <si>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</si>
  <si>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REQ001-5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</si>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</sst>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sz val="10"/>
      <color theme="1"/>
      <name val="Times New Roman"/>
    </font>
    <font>
      <b/>
      <sz val="12"/>
      <color theme="1"/>
      <name val="Times New Roman"/>
    </font>
    <font>
      <sz val="10"/>
      <color rgb="FF000000"/>
      <name val="Times New Roman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4" borderId="1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3" xfId="0" applyBorder="1"/>
    <xf numFmtId="0" fontId="5" fillId="5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7" borderId="0" xfId="0" applyFill="1" applyAlignment="1">
      <alignment horizontal="center"/>
    </xf>
    <xf numFmtId="0" fontId="0" fillId="0" borderId="3" xfId="0" applyBorder="1" applyAlignment="1">
      <alignment horizontal="left"/>
    </xf>
    <xf numFmtId="0" fontId="0" fillId="8" borderId="0" xfId="0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638175</xdr:colOff>
      <xdr:row>0</xdr:row>
      <xdr:rowOff>19050</xdr:rowOff>
    </xdr:from>
    <xdr:ext cx="0" cy="0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8" headerRowCount="0" headerRowDxfId="3" dataDxfId="2" totalsRowDxfId="1">
  <tableColumns count="1">
    <tableColumn id="1" xr3:uid="{00000000-0010-0000-0000-000001000000}" name="Column1" dataDxfId="0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opLeftCell="A8" workbookViewId="0">
      <selection activeCell="B17" sqref="B17"/>
    </sheetView>
  </sheetViews>
  <sheetFormatPr defaultColWidth="12.5703125" defaultRowHeight="15" customHeight="1"/>
  <cols>
    <col min="1" max="1" width="12.42578125" customWidth="1"/>
    <col min="2" max="2" width="30.28515625" customWidth="1"/>
    <col min="3" max="3" width="36" customWidth="1"/>
    <col min="4" max="4" width="41.42578125" customWidth="1"/>
    <col min="5" max="5" width="54.42578125" customWidth="1"/>
    <col min="6" max="6" width="34" customWidth="1"/>
    <col min="7" max="26" width="12.42578125" customWidth="1"/>
  </cols>
  <sheetData>
    <row r="1" spans="1:26" ht="27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1">
      <c r="A2" s="6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1">
      <c r="A3" s="6" t="s">
        <v>16</v>
      </c>
      <c r="B3" s="5" t="s">
        <v>17</v>
      </c>
      <c r="C3" s="5" t="s">
        <v>10</v>
      </c>
      <c r="D3" s="5" t="s">
        <v>18</v>
      </c>
      <c r="E3" s="5" t="s">
        <v>19</v>
      </c>
      <c r="F3" s="5" t="s">
        <v>20</v>
      </c>
      <c r="G3" s="5" t="s">
        <v>14</v>
      </c>
      <c r="H3" s="5" t="s">
        <v>15</v>
      </c>
    </row>
    <row r="4" spans="1:26" ht="51">
      <c r="A4" s="6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14</v>
      </c>
      <c r="H4" s="5" t="s">
        <v>27</v>
      </c>
    </row>
    <row r="5" spans="1:26" ht="51">
      <c r="A5" s="6" t="s">
        <v>28</v>
      </c>
      <c r="B5" s="5" t="s">
        <v>29</v>
      </c>
      <c r="C5" s="5" t="s">
        <v>30</v>
      </c>
      <c r="D5" s="7" t="s">
        <v>31</v>
      </c>
      <c r="E5" s="5" t="s">
        <v>32</v>
      </c>
      <c r="F5" s="5" t="s">
        <v>33</v>
      </c>
      <c r="G5" s="5" t="s">
        <v>14</v>
      </c>
      <c r="H5" s="5" t="s">
        <v>27</v>
      </c>
    </row>
    <row r="6" spans="1:26" ht="51">
      <c r="A6" s="6" t="s">
        <v>34</v>
      </c>
      <c r="B6" s="5" t="s">
        <v>35</v>
      </c>
      <c r="C6" s="5" t="s">
        <v>23</v>
      </c>
      <c r="D6" s="8" t="s">
        <v>36</v>
      </c>
      <c r="E6" s="5" t="s">
        <v>37</v>
      </c>
      <c r="F6" s="5" t="s">
        <v>38</v>
      </c>
      <c r="G6" s="5" t="s">
        <v>14</v>
      </c>
      <c r="H6" s="5" t="s">
        <v>39</v>
      </c>
    </row>
    <row r="7" spans="1:26" ht="38.25">
      <c r="A7" s="6" t="s">
        <v>40</v>
      </c>
      <c r="B7" s="5" t="s">
        <v>41</v>
      </c>
      <c r="C7" s="5" t="s">
        <v>30</v>
      </c>
      <c r="D7" s="7" t="s">
        <v>42</v>
      </c>
      <c r="E7" s="5" t="s">
        <v>43</v>
      </c>
      <c r="F7" s="5" t="s">
        <v>44</v>
      </c>
      <c r="G7" s="5" t="s">
        <v>14</v>
      </c>
      <c r="H7" s="5" t="s">
        <v>39</v>
      </c>
    </row>
    <row r="8" spans="1:26" ht="51">
      <c r="A8" s="6" t="s">
        <v>45</v>
      </c>
      <c r="B8" s="5" t="s">
        <v>46</v>
      </c>
      <c r="C8" s="5" t="s">
        <v>23</v>
      </c>
      <c r="D8" s="7" t="s">
        <v>47</v>
      </c>
      <c r="E8" s="5" t="s">
        <v>48</v>
      </c>
      <c r="F8" s="5" t="s">
        <v>49</v>
      </c>
      <c r="G8" s="5" t="s">
        <v>14</v>
      </c>
      <c r="H8" s="5" t="s">
        <v>39</v>
      </c>
    </row>
    <row r="9" spans="1:26" ht="51">
      <c r="A9" s="6" t="s">
        <v>50</v>
      </c>
      <c r="B9" s="5" t="s">
        <v>51</v>
      </c>
      <c r="C9" s="5" t="s">
        <v>23</v>
      </c>
      <c r="D9" s="5" t="s">
        <v>52</v>
      </c>
      <c r="E9" s="5" t="s">
        <v>53</v>
      </c>
      <c r="F9" s="5" t="s">
        <v>54</v>
      </c>
      <c r="G9" s="5" t="s">
        <v>14</v>
      </c>
      <c r="H9" s="5" t="s">
        <v>39</v>
      </c>
    </row>
    <row r="10" spans="1:26" ht="38.25">
      <c r="A10" s="6" t="s">
        <v>55</v>
      </c>
      <c r="B10" s="5" t="s">
        <v>56</v>
      </c>
      <c r="C10" s="5" t="s">
        <v>23</v>
      </c>
      <c r="D10" s="5" t="s">
        <v>57</v>
      </c>
      <c r="E10" s="5" t="s">
        <v>58</v>
      </c>
      <c r="F10" s="5" t="s">
        <v>59</v>
      </c>
      <c r="G10" s="5" t="s">
        <v>14</v>
      </c>
      <c r="H10" s="5" t="s">
        <v>39</v>
      </c>
    </row>
    <row r="11" spans="1:26" ht="38.25">
      <c r="A11" s="6" t="s">
        <v>60</v>
      </c>
      <c r="B11" s="5" t="s">
        <v>61</v>
      </c>
      <c r="C11" s="5" t="s">
        <v>23</v>
      </c>
      <c r="D11" s="5" t="s">
        <v>62</v>
      </c>
      <c r="E11" s="5" t="s">
        <v>63</v>
      </c>
      <c r="F11" s="5" t="s">
        <v>64</v>
      </c>
      <c r="G11" s="5" t="s">
        <v>14</v>
      </c>
      <c r="H11" s="5" t="s">
        <v>39</v>
      </c>
    </row>
    <row r="12" spans="1:26" ht="51">
      <c r="A12" s="6" t="s">
        <v>65</v>
      </c>
      <c r="B12" s="5" t="s">
        <v>66</v>
      </c>
      <c r="C12" s="5" t="s">
        <v>23</v>
      </c>
      <c r="D12" s="5" t="s">
        <v>67</v>
      </c>
      <c r="E12" s="5" t="s">
        <v>68</v>
      </c>
      <c r="F12" s="5" t="s">
        <v>69</v>
      </c>
      <c r="G12" s="5" t="s">
        <v>14</v>
      </c>
      <c r="H12" s="5" t="s">
        <v>39</v>
      </c>
    </row>
    <row r="13" spans="1:26" ht="51">
      <c r="A13" s="6" t="s">
        <v>70</v>
      </c>
      <c r="B13" s="5" t="s">
        <v>71</v>
      </c>
      <c r="C13" s="5" t="s">
        <v>23</v>
      </c>
      <c r="D13" s="5" t="s">
        <v>72</v>
      </c>
      <c r="E13" s="5" t="s">
        <v>73</v>
      </c>
      <c r="F13" s="5" t="s">
        <v>74</v>
      </c>
      <c r="G13" s="5" t="s">
        <v>14</v>
      </c>
      <c r="H13" s="5" t="s">
        <v>39</v>
      </c>
    </row>
    <row r="14" spans="1:26" ht="38.25">
      <c r="A14" s="6" t="s">
        <v>75</v>
      </c>
      <c r="B14" s="5" t="s">
        <v>76</v>
      </c>
      <c r="C14" s="5" t="s">
        <v>23</v>
      </c>
      <c r="D14" s="5" t="s">
        <v>77</v>
      </c>
      <c r="E14" s="5" t="s">
        <v>78</v>
      </c>
      <c r="F14" s="5" t="s">
        <v>79</v>
      </c>
      <c r="G14" s="5" t="s">
        <v>14</v>
      </c>
      <c r="H14" s="5" t="s">
        <v>39</v>
      </c>
    </row>
    <row r="15" spans="1:26" ht="51">
      <c r="A15" s="6" t="s">
        <v>80</v>
      </c>
      <c r="B15" s="5" t="s">
        <v>81</v>
      </c>
      <c r="C15" s="5" t="s">
        <v>23</v>
      </c>
      <c r="D15" s="5" t="s">
        <v>82</v>
      </c>
      <c r="E15" s="5" t="s">
        <v>83</v>
      </c>
      <c r="F15" s="5" t="s">
        <v>84</v>
      </c>
      <c r="G15" s="5" t="s">
        <v>14</v>
      </c>
      <c r="H15" s="5" t="s">
        <v>39</v>
      </c>
    </row>
    <row r="16" spans="1:26" ht="51">
      <c r="A16" s="6" t="s">
        <v>85</v>
      </c>
      <c r="B16" s="5" t="s">
        <v>86</v>
      </c>
      <c r="C16" s="5" t="s">
        <v>23</v>
      </c>
      <c r="D16" s="5" t="s">
        <v>87</v>
      </c>
      <c r="E16" s="5" t="s">
        <v>88</v>
      </c>
      <c r="F16" s="5" t="s">
        <v>89</v>
      </c>
      <c r="G16" s="5" t="s">
        <v>14</v>
      </c>
      <c r="H16" s="5" t="s">
        <v>39</v>
      </c>
    </row>
    <row r="17" spans="1:8" ht="51">
      <c r="A17" s="6" t="s">
        <v>90</v>
      </c>
      <c r="B17" s="5" t="s">
        <v>91</v>
      </c>
      <c r="C17" s="5" t="s">
        <v>30</v>
      </c>
      <c r="D17" s="5" t="s">
        <v>92</v>
      </c>
      <c r="E17" s="5" t="s">
        <v>93</v>
      </c>
      <c r="F17" s="5" t="s">
        <v>94</v>
      </c>
      <c r="G17" s="5" t="s">
        <v>14</v>
      </c>
      <c r="H17" s="5" t="s">
        <v>39</v>
      </c>
    </row>
    <row r="18" spans="1:8" ht="51">
      <c r="A18" s="6" t="s">
        <v>95</v>
      </c>
      <c r="B18" s="5" t="s">
        <v>96</v>
      </c>
      <c r="C18" s="5" t="s">
        <v>30</v>
      </c>
      <c r="D18" s="5" t="s">
        <v>97</v>
      </c>
      <c r="E18" s="5" t="s">
        <v>98</v>
      </c>
      <c r="F18" s="5" t="s">
        <v>99</v>
      </c>
      <c r="G18" s="5" t="s">
        <v>14</v>
      </c>
      <c r="H18" s="5" t="s">
        <v>39</v>
      </c>
    </row>
    <row r="19" spans="1:8" ht="51">
      <c r="A19" s="6" t="s">
        <v>100</v>
      </c>
      <c r="B19" s="5" t="s">
        <v>101</v>
      </c>
      <c r="C19" s="5" t="s">
        <v>23</v>
      </c>
      <c r="D19" s="5" t="s">
        <v>102</v>
      </c>
      <c r="E19" s="5" t="s">
        <v>103</v>
      </c>
      <c r="F19" s="5" t="s">
        <v>104</v>
      </c>
      <c r="G19" s="5" t="s">
        <v>14</v>
      </c>
      <c r="H19" s="5" t="s">
        <v>39</v>
      </c>
    </row>
    <row r="20" spans="1:8" ht="63.75">
      <c r="A20" s="6" t="s">
        <v>105</v>
      </c>
      <c r="B20" s="5" t="s">
        <v>106</v>
      </c>
      <c r="C20" s="5" t="s">
        <v>23</v>
      </c>
      <c r="D20" s="5" t="s">
        <v>107</v>
      </c>
      <c r="E20" s="5" t="s">
        <v>108</v>
      </c>
      <c r="F20" s="5" t="s">
        <v>109</v>
      </c>
      <c r="G20" s="5" t="s">
        <v>14</v>
      </c>
      <c r="H20" s="5" t="s">
        <v>39</v>
      </c>
    </row>
    <row r="21" spans="1:8" ht="51">
      <c r="A21" s="6" t="s">
        <v>110</v>
      </c>
      <c r="B21" s="5" t="s">
        <v>111</v>
      </c>
      <c r="C21" s="5" t="s">
        <v>23</v>
      </c>
      <c r="D21" s="5" t="s">
        <v>112</v>
      </c>
      <c r="E21" s="5" t="s">
        <v>113</v>
      </c>
      <c r="F21" s="5" t="s">
        <v>114</v>
      </c>
      <c r="G21" s="5" t="s">
        <v>14</v>
      </c>
      <c r="H21" s="5" t="s">
        <v>39</v>
      </c>
    </row>
    <row r="22" spans="1:8" ht="38.25">
      <c r="A22" s="6" t="s">
        <v>115</v>
      </c>
      <c r="B22" s="5" t="s">
        <v>116</v>
      </c>
      <c r="C22" s="5" t="s">
        <v>23</v>
      </c>
      <c r="D22" s="5" t="s">
        <v>117</v>
      </c>
      <c r="E22" s="5" t="s">
        <v>118</v>
      </c>
      <c r="F22" s="5" t="s">
        <v>119</v>
      </c>
      <c r="G22" s="5" t="s">
        <v>14</v>
      </c>
      <c r="H22" s="5" t="s">
        <v>39</v>
      </c>
    </row>
    <row r="23" spans="1:8" ht="38.25">
      <c r="A23" s="6" t="s">
        <v>120</v>
      </c>
      <c r="B23" s="5" t="s">
        <v>121</v>
      </c>
      <c r="C23" s="5" t="s">
        <v>23</v>
      </c>
      <c r="D23" s="5" t="s">
        <v>122</v>
      </c>
      <c r="E23" s="5" t="s">
        <v>123</v>
      </c>
      <c r="F23" s="5" t="s">
        <v>124</v>
      </c>
      <c r="G23" s="5" t="s">
        <v>14</v>
      </c>
      <c r="H23" s="5" t="s">
        <v>39</v>
      </c>
    </row>
    <row r="24" spans="1:8" ht="38.25">
      <c r="A24" s="6" t="s">
        <v>125</v>
      </c>
      <c r="B24" s="5" t="s">
        <v>126</v>
      </c>
      <c r="C24" s="5" t="s">
        <v>23</v>
      </c>
      <c r="D24" s="5" t="s">
        <v>127</v>
      </c>
      <c r="E24" s="5" t="s">
        <v>128</v>
      </c>
      <c r="F24" s="5" t="s">
        <v>129</v>
      </c>
      <c r="G24" s="5" t="s">
        <v>14</v>
      </c>
      <c r="H24" s="5" t="s">
        <v>39</v>
      </c>
    </row>
    <row r="25" spans="1:8" ht="51">
      <c r="A25" s="6" t="s">
        <v>130</v>
      </c>
      <c r="B25" s="5" t="s">
        <v>131</v>
      </c>
      <c r="C25" s="5" t="s">
        <v>23</v>
      </c>
      <c r="D25" s="5" t="s">
        <v>132</v>
      </c>
      <c r="E25" s="5" t="s">
        <v>133</v>
      </c>
      <c r="F25" s="5" t="s">
        <v>134</v>
      </c>
      <c r="G25" s="5" t="s">
        <v>135</v>
      </c>
      <c r="H25" s="5" t="s">
        <v>39</v>
      </c>
    </row>
    <row r="26" spans="1:8" ht="51">
      <c r="A26" s="6" t="s">
        <v>136</v>
      </c>
      <c r="B26" s="5" t="s">
        <v>137</v>
      </c>
      <c r="C26" s="5" t="s">
        <v>23</v>
      </c>
      <c r="D26" s="5" t="s">
        <v>138</v>
      </c>
      <c r="E26" s="5" t="s">
        <v>139</v>
      </c>
      <c r="F26" s="5" t="s">
        <v>140</v>
      </c>
      <c r="G26" s="5" t="s">
        <v>135</v>
      </c>
      <c r="H26" s="5" t="s">
        <v>39</v>
      </c>
    </row>
    <row r="27" spans="1:8" ht="51">
      <c r="A27" s="6" t="s">
        <v>141</v>
      </c>
      <c r="B27" s="5" t="s">
        <v>142</v>
      </c>
      <c r="C27" s="5" t="s">
        <v>23</v>
      </c>
      <c r="D27" s="5" t="s">
        <v>143</v>
      </c>
      <c r="E27" s="5" t="s">
        <v>144</v>
      </c>
      <c r="F27" s="5" t="s">
        <v>145</v>
      </c>
      <c r="G27" s="5" t="s">
        <v>146</v>
      </c>
      <c r="H27" s="5" t="s">
        <v>39</v>
      </c>
    </row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AA978"/>
  <sheetViews>
    <sheetView workbookViewId="0">
      <selection activeCell="M58" sqref="M58"/>
    </sheetView>
  </sheetViews>
  <sheetFormatPr defaultColWidth="12.5703125" defaultRowHeight="15" customHeight="1"/>
  <cols>
    <col min="1" max="2" width="12.42578125" customWidth="1"/>
    <col min="3" max="4" width="18.85546875" customWidth="1"/>
    <col min="5" max="5" width="20.42578125" customWidth="1"/>
    <col min="6" max="6" width="56.140625" customWidth="1"/>
    <col min="7" max="7" width="12.42578125" customWidth="1"/>
    <col min="8" max="8" width="18.28515625" customWidth="1"/>
    <col min="9" max="27" width="12.42578125" customWidth="1"/>
  </cols>
  <sheetData>
    <row r="1" spans="2:27" ht="15.75" customHeight="1"/>
    <row r="2" spans="2:27" ht="15.75" customHeight="1"/>
    <row r="3" spans="2:27" ht="15.75" customHeight="1">
      <c r="B3" s="6" t="s">
        <v>0</v>
      </c>
      <c r="C3" s="6" t="s">
        <v>1</v>
      </c>
      <c r="D3" s="6" t="s">
        <v>2</v>
      </c>
      <c r="E3" s="6" t="s">
        <v>147</v>
      </c>
      <c r="F3" s="6" t="s">
        <v>148</v>
      </c>
      <c r="G3" s="6" t="s">
        <v>149</v>
      </c>
      <c r="H3" s="6" t="s">
        <v>5</v>
      </c>
      <c r="I3" s="6" t="s">
        <v>150</v>
      </c>
      <c r="J3" s="6" t="s">
        <v>151</v>
      </c>
    </row>
    <row r="4" spans="2:27" ht="102">
      <c r="B4" s="15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152</v>
      </c>
      <c r="H4" s="16" t="s">
        <v>13</v>
      </c>
      <c r="I4" s="16" t="s">
        <v>14</v>
      </c>
      <c r="J4" s="16" t="s">
        <v>15</v>
      </c>
      <c r="L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2.75">
      <c r="C5" s="17"/>
      <c r="D5" s="17"/>
      <c r="E5" s="17"/>
      <c r="F5" s="17"/>
      <c r="G5" s="17"/>
      <c r="H5" s="17"/>
      <c r="I5" s="17"/>
      <c r="J5" s="17"/>
      <c r="K5" s="17"/>
      <c r="L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2.75">
      <c r="C6" s="17"/>
      <c r="D6" s="17"/>
      <c r="E6" s="17"/>
      <c r="F6" s="17"/>
      <c r="G6" s="17"/>
      <c r="H6" s="17"/>
      <c r="I6" s="17"/>
      <c r="J6" s="17"/>
      <c r="K6" s="17"/>
      <c r="L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5.75">
      <c r="B7" s="9" t="s">
        <v>0</v>
      </c>
      <c r="C7" s="18" t="s">
        <v>153</v>
      </c>
      <c r="D7" s="18"/>
      <c r="E7" s="18"/>
      <c r="F7" s="18"/>
      <c r="G7" s="18"/>
      <c r="H7" s="9" t="s">
        <v>149</v>
      </c>
      <c r="I7" s="9" t="s">
        <v>150</v>
      </c>
      <c r="J7" s="9" t="s">
        <v>154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>
      <c r="B8" s="9" t="s">
        <v>155</v>
      </c>
      <c r="C8" s="19" t="s">
        <v>156</v>
      </c>
      <c r="D8" s="19"/>
      <c r="E8" s="19"/>
      <c r="F8" s="19"/>
      <c r="G8" s="19"/>
      <c r="H8" s="20" t="s">
        <v>152</v>
      </c>
      <c r="I8" s="20" t="s">
        <v>14</v>
      </c>
      <c r="J8" s="20">
        <v>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>
      <c r="B9" s="9" t="s">
        <v>157</v>
      </c>
      <c r="C9" s="19" t="s">
        <v>158</v>
      </c>
      <c r="D9" s="19"/>
      <c r="E9" s="19"/>
      <c r="F9" s="19"/>
      <c r="G9" s="19"/>
      <c r="H9" s="20" t="s">
        <v>152</v>
      </c>
      <c r="I9" s="20" t="s">
        <v>14</v>
      </c>
      <c r="J9" s="20">
        <v>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5.75" customHeight="1">
      <c r="B10" s="9" t="s">
        <v>159</v>
      </c>
      <c r="C10" s="19" t="s">
        <v>160</v>
      </c>
      <c r="D10" s="19"/>
      <c r="E10" s="19"/>
      <c r="F10" s="19"/>
      <c r="G10" s="19"/>
      <c r="H10" s="20" t="s">
        <v>152</v>
      </c>
      <c r="I10" s="20" t="s">
        <v>14</v>
      </c>
      <c r="J10" s="20">
        <v>1</v>
      </c>
    </row>
    <row r="11" spans="2:27" ht="15.75" customHeight="1">
      <c r="B11" s="9" t="s">
        <v>161</v>
      </c>
      <c r="C11" s="19" t="s">
        <v>162</v>
      </c>
      <c r="D11" s="19"/>
      <c r="E11" s="19"/>
      <c r="F11" s="19"/>
      <c r="G11" s="19"/>
      <c r="H11" s="20" t="s">
        <v>163</v>
      </c>
      <c r="I11" s="20" t="s">
        <v>14</v>
      </c>
      <c r="J11" s="20">
        <v>2</v>
      </c>
    </row>
    <row r="12" spans="2:27">
      <c r="B12" s="21" t="s">
        <v>164</v>
      </c>
      <c r="C12" s="22" t="s">
        <v>165</v>
      </c>
      <c r="D12" s="22"/>
      <c r="E12" s="22"/>
      <c r="F12" s="22"/>
      <c r="G12" s="22"/>
      <c r="H12" s="23" t="s">
        <v>163</v>
      </c>
      <c r="I12" s="23" t="s">
        <v>14</v>
      </c>
      <c r="J12" s="23">
        <v>2</v>
      </c>
    </row>
    <row r="13" spans="2:27">
      <c r="B13" s="21" t="s">
        <v>166</v>
      </c>
      <c r="C13" s="19" t="s">
        <v>167</v>
      </c>
      <c r="D13" s="19"/>
      <c r="E13" s="19"/>
      <c r="F13" s="19"/>
      <c r="G13" s="19"/>
      <c r="H13" s="20" t="s">
        <v>168</v>
      </c>
      <c r="I13" s="20" t="s">
        <v>14</v>
      </c>
      <c r="J13" s="20">
        <v>2</v>
      </c>
    </row>
    <row r="14" spans="2:27">
      <c r="B14" s="21" t="s">
        <v>169</v>
      </c>
      <c r="C14" s="19" t="s">
        <v>170</v>
      </c>
      <c r="D14" s="19"/>
      <c r="E14" s="19"/>
      <c r="F14" s="19"/>
      <c r="G14" s="19"/>
      <c r="H14" s="20" t="s">
        <v>168</v>
      </c>
      <c r="I14" s="20" t="s">
        <v>14</v>
      </c>
      <c r="J14" s="20">
        <v>1</v>
      </c>
      <c r="K14" s="24">
        <f>SUM(J8:J14)</f>
        <v>13</v>
      </c>
    </row>
    <row r="15" spans="2:27" ht="12.75"/>
    <row r="16" spans="2:27" ht="12.75"/>
    <row r="17" spans="2:11">
      <c r="B17" s="6" t="s">
        <v>0</v>
      </c>
      <c r="C17" s="6" t="s">
        <v>1</v>
      </c>
      <c r="D17" s="6" t="s">
        <v>2</v>
      </c>
      <c r="E17" s="6" t="s">
        <v>147</v>
      </c>
      <c r="F17" s="6" t="s">
        <v>148</v>
      </c>
      <c r="G17" s="6" t="s">
        <v>149</v>
      </c>
      <c r="H17" s="6" t="s">
        <v>5</v>
      </c>
      <c r="I17" s="6" t="s">
        <v>150</v>
      </c>
      <c r="J17" s="6" t="s">
        <v>151</v>
      </c>
    </row>
    <row r="18" spans="2:11" ht="102">
      <c r="B18" s="15" t="s">
        <v>16</v>
      </c>
      <c r="C18" s="16" t="s">
        <v>17</v>
      </c>
      <c r="D18" s="16" t="s">
        <v>10</v>
      </c>
      <c r="E18" s="5" t="s">
        <v>18</v>
      </c>
      <c r="F18" s="5" t="s">
        <v>19</v>
      </c>
      <c r="G18" s="16" t="s">
        <v>152</v>
      </c>
      <c r="H18" s="5" t="s">
        <v>20</v>
      </c>
      <c r="I18" s="16" t="s">
        <v>14</v>
      </c>
      <c r="J18" s="16" t="s">
        <v>15</v>
      </c>
    </row>
    <row r="19" spans="2:11" ht="15.75" customHeight="1">
      <c r="C19" s="17"/>
      <c r="D19" s="17"/>
      <c r="E19" s="17"/>
      <c r="F19" s="17"/>
      <c r="G19" s="17"/>
      <c r="H19" s="17"/>
      <c r="I19" s="17"/>
      <c r="J19" s="17"/>
    </row>
    <row r="20" spans="2:11" ht="15.75" customHeight="1">
      <c r="C20" s="17"/>
      <c r="D20" s="17"/>
      <c r="E20" s="17"/>
      <c r="F20" s="17"/>
      <c r="G20" s="17"/>
      <c r="H20" s="17"/>
      <c r="I20" s="17"/>
      <c r="J20" s="17"/>
    </row>
    <row r="21" spans="2:11" ht="15.75">
      <c r="B21" s="9" t="s">
        <v>0</v>
      </c>
      <c r="C21" s="18" t="s">
        <v>153</v>
      </c>
      <c r="D21" s="18"/>
      <c r="E21" s="18"/>
      <c r="F21" s="18"/>
      <c r="G21" s="18"/>
      <c r="H21" s="9" t="s">
        <v>149</v>
      </c>
      <c r="I21" s="9" t="s">
        <v>150</v>
      </c>
      <c r="J21" s="9" t="s">
        <v>154</v>
      </c>
    </row>
    <row r="22" spans="2:11">
      <c r="B22" s="9" t="s">
        <v>171</v>
      </c>
      <c r="C22" s="19" t="s">
        <v>172</v>
      </c>
      <c r="D22" s="19"/>
      <c r="E22" s="19"/>
      <c r="F22" s="19"/>
      <c r="G22" s="19"/>
      <c r="H22" s="20" t="s">
        <v>152</v>
      </c>
      <c r="I22" s="20" t="s">
        <v>14</v>
      </c>
      <c r="J22" s="20">
        <v>2</v>
      </c>
    </row>
    <row r="23" spans="2:11">
      <c r="B23" s="9" t="s">
        <v>173</v>
      </c>
      <c r="C23" s="19" t="s">
        <v>174</v>
      </c>
      <c r="D23" s="19"/>
      <c r="E23" s="19"/>
      <c r="F23" s="19"/>
      <c r="G23" s="19"/>
      <c r="H23" s="20" t="s">
        <v>152</v>
      </c>
      <c r="I23" s="20" t="s">
        <v>14</v>
      </c>
      <c r="J23" s="20">
        <v>2</v>
      </c>
    </row>
    <row r="24" spans="2:11">
      <c r="B24" s="9" t="s">
        <v>175</v>
      </c>
      <c r="C24" s="19" t="s">
        <v>176</v>
      </c>
      <c r="D24" s="19"/>
      <c r="E24" s="19"/>
      <c r="F24" s="19"/>
      <c r="G24" s="19"/>
      <c r="H24" s="20" t="s">
        <v>163</v>
      </c>
      <c r="I24" s="20" t="s">
        <v>14</v>
      </c>
      <c r="J24" s="20">
        <v>2</v>
      </c>
    </row>
    <row r="25" spans="2:11" ht="15.75" customHeight="1">
      <c r="B25" s="9" t="s">
        <v>177</v>
      </c>
      <c r="C25" s="19" t="s">
        <v>178</v>
      </c>
      <c r="D25" s="19"/>
      <c r="E25" s="19"/>
      <c r="F25" s="19"/>
      <c r="G25" s="19"/>
      <c r="H25" s="20" t="s">
        <v>163</v>
      </c>
      <c r="I25" s="20" t="s">
        <v>14</v>
      </c>
      <c r="J25" s="20">
        <v>1</v>
      </c>
    </row>
    <row r="26" spans="2:11" ht="15.75" customHeight="1">
      <c r="B26" s="9" t="s">
        <v>179</v>
      </c>
      <c r="C26" s="19" t="s">
        <v>180</v>
      </c>
      <c r="D26" s="19"/>
      <c r="E26" s="19"/>
      <c r="F26" s="19"/>
      <c r="G26" s="19"/>
      <c r="H26" s="20" t="s">
        <v>168</v>
      </c>
      <c r="I26" s="20" t="s">
        <v>14</v>
      </c>
      <c r="J26" s="20">
        <v>1</v>
      </c>
      <c r="K26" s="24">
        <f>SUM(J22:J26)</f>
        <v>8</v>
      </c>
    </row>
    <row r="27" spans="2:11" ht="15.75" customHeight="1"/>
    <row r="28" spans="2:11" ht="12.75"/>
    <row r="29" spans="2:11">
      <c r="B29" s="6" t="s">
        <v>0</v>
      </c>
      <c r="C29" s="6" t="s">
        <v>1</v>
      </c>
      <c r="D29" s="6" t="s">
        <v>2</v>
      </c>
      <c r="E29" s="6" t="s">
        <v>147</v>
      </c>
      <c r="F29" s="6" t="s">
        <v>148</v>
      </c>
      <c r="G29" s="6" t="s">
        <v>149</v>
      </c>
      <c r="H29" s="6" t="s">
        <v>5</v>
      </c>
      <c r="I29" s="6" t="s">
        <v>150</v>
      </c>
      <c r="J29" s="6" t="s">
        <v>151</v>
      </c>
    </row>
    <row r="30" spans="2:11" ht="89.25">
      <c r="B30" s="15" t="s">
        <v>21</v>
      </c>
      <c r="C30" s="16" t="s">
        <v>181</v>
      </c>
      <c r="D30" s="5" t="s">
        <v>23</v>
      </c>
      <c r="E30" s="5" t="s">
        <v>24</v>
      </c>
      <c r="F30" s="5" t="s">
        <v>182</v>
      </c>
      <c r="G30" s="16" t="s">
        <v>152</v>
      </c>
      <c r="H30" s="5" t="s">
        <v>26</v>
      </c>
      <c r="I30" s="16" t="s">
        <v>14</v>
      </c>
      <c r="J30" s="16" t="s">
        <v>183</v>
      </c>
    </row>
    <row r="31" spans="2:11" ht="12.75">
      <c r="C31" s="17"/>
      <c r="D31" s="17"/>
      <c r="E31" s="17"/>
      <c r="F31" s="17"/>
      <c r="G31" s="17"/>
      <c r="H31" s="17"/>
      <c r="I31" s="17"/>
      <c r="J31" s="17"/>
    </row>
    <row r="32" spans="2:11" ht="15.75" customHeight="1">
      <c r="C32" s="17"/>
      <c r="D32" s="17"/>
      <c r="E32" s="17"/>
      <c r="F32" s="17"/>
      <c r="G32" s="17"/>
      <c r="H32" s="17"/>
      <c r="I32" s="17"/>
      <c r="J32" s="17"/>
    </row>
    <row r="33" spans="2:11" ht="15.75" customHeight="1">
      <c r="B33" s="9" t="s">
        <v>0</v>
      </c>
      <c r="C33" s="18" t="s">
        <v>153</v>
      </c>
      <c r="D33" s="18"/>
      <c r="E33" s="18"/>
      <c r="F33" s="18"/>
      <c r="G33" s="18"/>
      <c r="H33" s="9" t="s">
        <v>149</v>
      </c>
      <c r="I33" s="9" t="s">
        <v>150</v>
      </c>
      <c r="J33" s="9" t="s">
        <v>154</v>
      </c>
    </row>
    <row r="34" spans="2:11" ht="15.75" customHeight="1">
      <c r="B34" s="9" t="s">
        <v>184</v>
      </c>
      <c r="C34" s="19" t="s">
        <v>185</v>
      </c>
      <c r="D34" s="19"/>
      <c r="E34" s="19"/>
      <c r="F34" s="19"/>
      <c r="G34" s="19"/>
      <c r="H34" s="20" t="s">
        <v>152</v>
      </c>
      <c r="I34" s="20" t="s">
        <v>14</v>
      </c>
      <c r="J34" s="20">
        <v>3</v>
      </c>
    </row>
    <row r="35" spans="2:11">
      <c r="B35" s="9" t="s">
        <v>186</v>
      </c>
      <c r="C35" s="19" t="s">
        <v>187</v>
      </c>
      <c r="D35" s="19"/>
      <c r="E35" s="19"/>
      <c r="F35" s="19"/>
      <c r="G35" s="19"/>
      <c r="H35" s="20" t="s">
        <v>152</v>
      </c>
      <c r="I35" s="20" t="s">
        <v>14</v>
      </c>
      <c r="J35" s="20">
        <v>3</v>
      </c>
    </row>
    <row r="36" spans="2:11">
      <c r="B36" s="9" t="s">
        <v>188</v>
      </c>
      <c r="C36" s="19" t="s">
        <v>189</v>
      </c>
      <c r="D36" s="19"/>
      <c r="E36" s="19"/>
      <c r="F36" s="19"/>
      <c r="G36" s="19"/>
      <c r="H36" s="20" t="s">
        <v>163</v>
      </c>
      <c r="I36" s="20" t="s">
        <v>14</v>
      </c>
      <c r="J36" s="20">
        <v>3</v>
      </c>
    </row>
    <row r="37" spans="2:11">
      <c r="B37" s="9" t="s">
        <v>190</v>
      </c>
      <c r="C37" s="19" t="s">
        <v>191</v>
      </c>
      <c r="D37" s="19"/>
      <c r="E37" s="19"/>
      <c r="F37" s="19"/>
      <c r="G37" s="19"/>
      <c r="H37" s="20" t="s">
        <v>163</v>
      </c>
      <c r="I37" s="20" t="s">
        <v>14</v>
      </c>
      <c r="J37" s="20">
        <v>3</v>
      </c>
    </row>
    <row r="38" spans="2:11" ht="15.75" customHeight="1">
      <c r="B38" s="9" t="s">
        <v>192</v>
      </c>
      <c r="C38" s="19" t="s">
        <v>193</v>
      </c>
      <c r="D38" s="19"/>
      <c r="E38" s="19"/>
      <c r="F38" s="19"/>
      <c r="G38" s="19"/>
      <c r="H38" s="20" t="s">
        <v>168</v>
      </c>
      <c r="I38" s="20" t="s">
        <v>14</v>
      </c>
      <c r="J38" s="20">
        <v>3</v>
      </c>
    </row>
    <row r="39" spans="2:11">
      <c r="B39" s="9" t="s">
        <v>194</v>
      </c>
      <c r="C39" s="25" t="s">
        <v>170</v>
      </c>
      <c r="D39" s="25"/>
      <c r="E39" s="25"/>
      <c r="F39" s="25"/>
      <c r="G39" s="25"/>
      <c r="H39" s="20" t="s">
        <v>168</v>
      </c>
      <c r="I39" s="20" t="s">
        <v>14</v>
      </c>
      <c r="J39" s="20">
        <v>2</v>
      </c>
      <c r="K39" s="24">
        <f>SUM(J34:J39)</f>
        <v>17</v>
      </c>
    </row>
    <row r="40" spans="2:11" ht="15.75" customHeight="1"/>
    <row r="41" spans="2:11" ht="15.75" customHeight="1"/>
    <row r="42" spans="2:11" ht="15.75" customHeight="1">
      <c r="B42" s="6" t="s">
        <v>0</v>
      </c>
      <c r="C42" s="6" t="s">
        <v>1</v>
      </c>
      <c r="D42" s="6" t="s">
        <v>2</v>
      </c>
      <c r="E42" s="6" t="s">
        <v>147</v>
      </c>
      <c r="F42" s="6" t="s">
        <v>148</v>
      </c>
      <c r="G42" s="6" t="s">
        <v>149</v>
      </c>
      <c r="H42" s="6" t="s">
        <v>5</v>
      </c>
      <c r="I42" s="6" t="s">
        <v>150</v>
      </c>
      <c r="J42" s="6" t="s">
        <v>151</v>
      </c>
    </row>
    <row r="43" spans="2:11" ht="89.25">
      <c r="B43" s="15" t="s">
        <v>28</v>
      </c>
      <c r="C43" s="5" t="s">
        <v>29</v>
      </c>
      <c r="D43" s="5" t="s">
        <v>30</v>
      </c>
      <c r="E43" s="7" t="s">
        <v>31</v>
      </c>
      <c r="F43" s="5" t="s">
        <v>32</v>
      </c>
      <c r="G43" s="16"/>
      <c r="H43" s="5" t="s">
        <v>33</v>
      </c>
      <c r="I43" s="16" t="s">
        <v>14</v>
      </c>
      <c r="J43" s="16" t="s">
        <v>183</v>
      </c>
    </row>
    <row r="44" spans="2:11" ht="15.75" customHeight="1">
      <c r="C44" s="17"/>
      <c r="D44" s="17"/>
      <c r="E44" s="17"/>
      <c r="F44" s="17"/>
      <c r="G44" s="17"/>
      <c r="H44" s="17"/>
      <c r="I44" s="17"/>
      <c r="J44" s="17"/>
    </row>
    <row r="45" spans="2:11" ht="15.75" customHeight="1">
      <c r="C45" s="17"/>
      <c r="D45" s="17"/>
      <c r="E45" s="17"/>
      <c r="F45" s="17"/>
      <c r="G45" s="17"/>
      <c r="H45" s="17"/>
      <c r="I45" s="17"/>
      <c r="J45" s="17"/>
    </row>
    <row r="46" spans="2:11" ht="15.75" customHeight="1">
      <c r="B46" s="9" t="s">
        <v>0</v>
      </c>
      <c r="C46" s="18" t="s">
        <v>153</v>
      </c>
      <c r="D46" s="18"/>
      <c r="E46" s="18"/>
      <c r="F46" s="18"/>
      <c r="G46" s="18"/>
      <c r="H46" s="9" t="s">
        <v>149</v>
      </c>
      <c r="I46" s="9" t="s">
        <v>150</v>
      </c>
      <c r="J46" s="9" t="s">
        <v>154</v>
      </c>
    </row>
    <row r="47" spans="2:11" ht="15.75" customHeight="1">
      <c r="B47" s="9" t="s">
        <v>195</v>
      </c>
      <c r="C47" s="19" t="s">
        <v>196</v>
      </c>
      <c r="D47" s="19"/>
      <c r="E47" s="19"/>
      <c r="F47" s="19"/>
      <c r="G47" s="19"/>
      <c r="H47" s="20" t="s">
        <v>152</v>
      </c>
      <c r="I47" s="20" t="s">
        <v>14</v>
      </c>
      <c r="J47" s="20">
        <v>2</v>
      </c>
    </row>
    <row r="48" spans="2:11" ht="15.75" customHeight="1">
      <c r="B48" s="9" t="s">
        <v>197</v>
      </c>
      <c r="C48" s="19" t="s">
        <v>198</v>
      </c>
      <c r="D48" s="19"/>
      <c r="E48" s="19"/>
      <c r="F48" s="19"/>
      <c r="G48" s="19"/>
      <c r="H48" s="20" t="s">
        <v>152</v>
      </c>
      <c r="I48" s="20" t="s">
        <v>14</v>
      </c>
      <c r="J48" s="20">
        <v>2</v>
      </c>
    </row>
    <row r="49" spans="2:11" ht="15.75" customHeight="1">
      <c r="B49" s="9" t="s">
        <v>199</v>
      </c>
      <c r="C49" s="19" t="s">
        <v>200</v>
      </c>
      <c r="D49" s="19"/>
      <c r="E49" s="19"/>
      <c r="F49" s="19"/>
      <c r="G49" s="19"/>
      <c r="H49" s="20" t="s">
        <v>152</v>
      </c>
      <c r="I49" s="20" t="s">
        <v>14</v>
      </c>
      <c r="J49" s="20">
        <v>2</v>
      </c>
    </row>
    <row r="50" spans="2:11" ht="15.75" customHeight="1">
      <c r="B50" s="9" t="s">
        <v>201</v>
      </c>
      <c r="C50" s="19" t="s">
        <v>202</v>
      </c>
      <c r="D50" s="19"/>
      <c r="E50" s="19"/>
      <c r="F50" s="19"/>
      <c r="G50" s="19"/>
      <c r="H50" s="20" t="s">
        <v>152</v>
      </c>
      <c r="I50" s="20" t="s">
        <v>14</v>
      </c>
      <c r="J50" s="20">
        <v>3</v>
      </c>
    </row>
    <row r="51" spans="2:11" ht="15.75" customHeight="1">
      <c r="B51" s="9" t="s">
        <v>203</v>
      </c>
      <c r="C51" s="19" t="s">
        <v>204</v>
      </c>
      <c r="D51" s="19"/>
      <c r="E51" s="19"/>
      <c r="F51" s="19"/>
      <c r="G51" s="19"/>
      <c r="H51" s="20" t="s">
        <v>163</v>
      </c>
      <c r="I51" s="20" t="s">
        <v>14</v>
      </c>
      <c r="J51" s="20">
        <v>2</v>
      </c>
    </row>
    <row r="52" spans="2:11" ht="15.75" customHeight="1">
      <c r="B52" s="9" t="s">
        <v>205</v>
      </c>
      <c r="C52" s="19" t="s">
        <v>193</v>
      </c>
      <c r="D52" s="19"/>
      <c r="E52" s="19"/>
      <c r="F52" s="19"/>
      <c r="G52" s="19"/>
      <c r="H52" s="20" t="s">
        <v>163</v>
      </c>
      <c r="I52" s="20" t="s">
        <v>14</v>
      </c>
      <c r="J52" s="20">
        <v>3</v>
      </c>
    </row>
    <row r="53" spans="2:11" ht="15.75" customHeight="1">
      <c r="B53" s="9" t="s">
        <v>206</v>
      </c>
      <c r="C53" s="19" t="s">
        <v>170</v>
      </c>
      <c r="D53" s="19"/>
      <c r="E53" s="19"/>
      <c r="F53" s="19"/>
      <c r="G53" s="19"/>
      <c r="H53" s="20" t="s">
        <v>168</v>
      </c>
      <c r="I53" s="20" t="s">
        <v>14</v>
      </c>
      <c r="J53" s="20">
        <v>2</v>
      </c>
      <c r="K53" s="24">
        <f>SUM(J47:J53)</f>
        <v>16</v>
      </c>
    </row>
    <row r="54" spans="2:11" ht="15.75" customHeight="1"/>
    <row r="55" spans="2:11" ht="15.75" customHeight="1"/>
    <row r="56" spans="2:11" ht="15.75" customHeight="1">
      <c r="B56" s="6" t="s">
        <v>0</v>
      </c>
      <c r="C56" s="6" t="s">
        <v>1</v>
      </c>
      <c r="D56" s="6" t="s">
        <v>2</v>
      </c>
      <c r="E56" s="6" t="s">
        <v>147</v>
      </c>
      <c r="F56" s="6" t="s">
        <v>148</v>
      </c>
      <c r="G56" s="6" t="s">
        <v>149</v>
      </c>
      <c r="H56" s="6" t="s">
        <v>5</v>
      </c>
      <c r="I56" s="6" t="s">
        <v>150</v>
      </c>
      <c r="J56" s="6" t="s">
        <v>151</v>
      </c>
    </row>
    <row r="57" spans="2:11" ht="102">
      <c r="B57" s="6" t="s">
        <v>34</v>
      </c>
      <c r="C57" s="5" t="s">
        <v>35</v>
      </c>
      <c r="D57" s="5" t="s">
        <v>23</v>
      </c>
      <c r="E57" s="8" t="s">
        <v>36</v>
      </c>
      <c r="F57" s="5" t="s">
        <v>37</v>
      </c>
      <c r="G57" t="s">
        <v>152</v>
      </c>
      <c r="H57" s="5" t="s">
        <v>38</v>
      </c>
      <c r="I57" s="5" t="s">
        <v>14</v>
      </c>
      <c r="J57" s="5" t="s">
        <v>27</v>
      </c>
    </row>
    <row r="58" spans="2:11" ht="15.75" customHeight="1">
      <c r="C58" s="17"/>
      <c r="D58" s="17"/>
      <c r="E58" s="17"/>
      <c r="F58" s="17"/>
      <c r="G58" s="17"/>
      <c r="H58" s="17"/>
      <c r="I58" s="17"/>
      <c r="J58" s="17"/>
    </row>
    <row r="59" spans="2:11" ht="15.75" customHeight="1">
      <c r="C59" s="17"/>
      <c r="D59" s="17"/>
      <c r="E59" s="17"/>
      <c r="F59" s="17"/>
      <c r="G59" s="17"/>
      <c r="H59" s="17"/>
      <c r="I59" s="17"/>
      <c r="J59" s="17"/>
    </row>
    <row r="60" spans="2:11" ht="15.75" customHeight="1">
      <c r="B60" s="9" t="s">
        <v>0</v>
      </c>
      <c r="C60" s="18" t="s">
        <v>153</v>
      </c>
      <c r="D60" s="18"/>
      <c r="E60" s="18"/>
      <c r="F60" s="18"/>
      <c r="G60" s="18"/>
      <c r="H60" s="9" t="s">
        <v>149</v>
      </c>
      <c r="I60" s="9" t="s">
        <v>150</v>
      </c>
      <c r="J60" s="9" t="s">
        <v>154</v>
      </c>
    </row>
    <row r="61" spans="2:11" ht="15.75" customHeight="1">
      <c r="B61" s="9" t="s">
        <v>207</v>
      </c>
      <c r="C61" s="19" t="s">
        <v>208</v>
      </c>
      <c r="D61" s="19"/>
      <c r="E61" s="19"/>
      <c r="F61" s="19"/>
      <c r="G61" s="19"/>
      <c r="H61" s="20" t="s">
        <v>152</v>
      </c>
      <c r="I61" s="20" t="s">
        <v>14</v>
      </c>
      <c r="J61" s="20">
        <v>2</v>
      </c>
    </row>
    <row r="62" spans="2:11" ht="15.75" customHeight="1">
      <c r="B62" s="9" t="s">
        <v>209</v>
      </c>
      <c r="C62" s="19" t="s">
        <v>202</v>
      </c>
      <c r="D62" s="19"/>
      <c r="E62" s="19"/>
      <c r="F62" s="19"/>
      <c r="G62" s="19"/>
      <c r="H62" s="20" t="s">
        <v>152</v>
      </c>
      <c r="I62" s="20" t="s">
        <v>14</v>
      </c>
      <c r="J62" s="20">
        <v>4</v>
      </c>
    </row>
    <row r="63" spans="2:11" ht="15.75" customHeight="1">
      <c r="B63" s="9" t="s">
        <v>210</v>
      </c>
      <c r="C63" s="19" t="s">
        <v>211</v>
      </c>
      <c r="D63" s="19"/>
      <c r="E63" s="19"/>
      <c r="F63" s="19"/>
      <c r="G63" s="19"/>
      <c r="H63" s="20" t="s">
        <v>163</v>
      </c>
      <c r="I63" s="20" t="s">
        <v>14</v>
      </c>
      <c r="J63" s="20">
        <v>2</v>
      </c>
    </row>
    <row r="64" spans="2:11" ht="15.75" customHeight="1">
      <c r="B64" s="9" t="s">
        <v>212</v>
      </c>
      <c r="C64" s="19" t="s">
        <v>213</v>
      </c>
      <c r="D64" s="19"/>
      <c r="E64" s="19"/>
      <c r="F64" s="19"/>
      <c r="G64" s="19"/>
      <c r="H64" s="20" t="s">
        <v>163</v>
      </c>
      <c r="I64" s="20" t="s">
        <v>14</v>
      </c>
      <c r="J64" s="20">
        <v>3</v>
      </c>
    </row>
    <row r="65" spans="2:12" ht="15.75" customHeight="1">
      <c r="B65" s="9" t="s">
        <v>214</v>
      </c>
      <c r="C65" s="19" t="s">
        <v>193</v>
      </c>
      <c r="D65" s="19"/>
      <c r="E65" s="19"/>
      <c r="F65" s="19"/>
      <c r="G65" s="19"/>
      <c r="H65" s="20" t="s">
        <v>168</v>
      </c>
      <c r="I65" s="20" t="s">
        <v>14</v>
      </c>
      <c r="J65" s="20">
        <v>2</v>
      </c>
    </row>
    <row r="66" spans="2:12" ht="15.75" customHeight="1">
      <c r="B66" s="9" t="s">
        <v>215</v>
      </c>
      <c r="C66" s="19" t="s">
        <v>170</v>
      </c>
      <c r="D66" s="19"/>
      <c r="E66" s="19"/>
      <c r="F66" s="19"/>
      <c r="G66" s="19"/>
      <c r="H66" s="20" t="s">
        <v>168</v>
      </c>
      <c r="I66" s="20" t="s">
        <v>14</v>
      </c>
      <c r="J66" s="20">
        <v>3</v>
      </c>
      <c r="K66" s="24">
        <f>SUM(J61:J66)</f>
        <v>16</v>
      </c>
    </row>
    <row r="67" spans="2:12" ht="15.75" customHeight="1"/>
    <row r="68" spans="2:12" ht="15.75" customHeight="1"/>
    <row r="69" spans="2:12" ht="15.75" customHeight="1">
      <c r="K69" t="s">
        <v>216</v>
      </c>
      <c r="L69" s="26">
        <f>SUM(K53,K39,K66,K26,K14)</f>
        <v>70</v>
      </c>
    </row>
    <row r="70" spans="2:12" ht="15.75" customHeight="1"/>
    <row r="71" spans="2:12" ht="15.75" customHeight="1"/>
    <row r="72" spans="2:12" ht="15.75" customHeight="1"/>
    <row r="73" spans="2:12" ht="15.75" customHeight="1"/>
    <row r="74" spans="2:12" ht="15.75" customHeight="1"/>
    <row r="75" spans="2:12" ht="15.75" customHeight="1"/>
    <row r="76" spans="2:12" ht="15.75" customHeight="1"/>
    <row r="77" spans="2:12" ht="15.75" customHeight="1"/>
    <row r="78" spans="2:12" ht="15.75" customHeight="1"/>
    <row r="79" spans="2:12" ht="15.75" customHeight="1"/>
    <row r="80" spans="2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35">
    <mergeCell ref="C62:G62"/>
    <mergeCell ref="C63:G63"/>
    <mergeCell ref="C64:G64"/>
    <mergeCell ref="C65:G65"/>
    <mergeCell ref="C66:G66"/>
    <mergeCell ref="C50:G50"/>
    <mergeCell ref="C51:G51"/>
    <mergeCell ref="C52:G52"/>
    <mergeCell ref="C53:G53"/>
    <mergeCell ref="C60:G60"/>
    <mergeCell ref="C61:G61"/>
    <mergeCell ref="C37:G37"/>
    <mergeCell ref="C38:G38"/>
    <mergeCell ref="C46:G46"/>
    <mergeCell ref="C47:G47"/>
    <mergeCell ref="C48:G48"/>
    <mergeCell ref="C49:G49"/>
    <mergeCell ref="C25:G25"/>
    <mergeCell ref="C26:G26"/>
    <mergeCell ref="C33:G33"/>
    <mergeCell ref="C34:G34"/>
    <mergeCell ref="C35:G35"/>
    <mergeCell ref="C36:G36"/>
    <mergeCell ref="C13:G13"/>
    <mergeCell ref="C14:G14"/>
    <mergeCell ref="C21:G21"/>
    <mergeCell ref="C22:G22"/>
    <mergeCell ref="C23:G23"/>
    <mergeCell ref="C24:G24"/>
    <mergeCell ref="C7:G7"/>
    <mergeCell ref="C8:G8"/>
    <mergeCell ref="C9:G9"/>
    <mergeCell ref="C10:G10"/>
    <mergeCell ref="C11:G11"/>
    <mergeCell ref="C12:G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5"/>
  <sheetViews>
    <sheetView tabSelected="1" workbookViewId="0">
      <selection activeCell="J4" sqref="J4:J8"/>
    </sheetView>
  </sheetViews>
  <sheetFormatPr defaultColWidth="12.5703125" defaultRowHeight="15" customHeight="1"/>
  <cols>
    <col min="1" max="1" width="12.42578125" customWidth="1"/>
    <col min="2" max="2" width="24.42578125" customWidth="1"/>
    <col min="3" max="26" width="12.42578125" customWidth="1"/>
  </cols>
  <sheetData>
    <row r="1" spans="1:9" ht="15.75" customHeight="1"/>
    <row r="2" spans="1:9" ht="15.75" customHeight="1"/>
    <row r="3" spans="1:9" ht="30.75">
      <c r="B3" s="6"/>
      <c r="C3" s="6" t="s">
        <v>154</v>
      </c>
      <c r="D3" s="6" t="s">
        <v>217</v>
      </c>
      <c r="E3" s="6" t="s">
        <v>218</v>
      </c>
      <c r="F3" s="6" t="s">
        <v>219</v>
      </c>
      <c r="G3" s="6" t="s">
        <v>220</v>
      </c>
      <c r="H3" s="6" t="s">
        <v>221</v>
      </c>
      <c r="I3" s="6" t="s">
        <v>222</v>
      </c>
    </row>
    <row r="4" spans="1:9" ht="15.75" customHeight="1">
      <c r="A4" s="10"/>
      <c r="B4" s="9" t="s">
        <v>223</v>
      </c>
      <c r="C4" s="11">
        <v>3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3">
        <f t="shared" ref="I4:I8" si="0">SUM(D4:H4)</f>
        <v>0</v>
      </c>
    </row>
    <row r="5" spans="1:9" ht="15.75" customHeight="1">
      <c r="A5" s="10"/>
      <c r="B5" s="9" t="s">
        <v>224</v>
      </c>
      <c r="C5" s="11">
        <v>2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3">
        <f t="shared" si="0"/>
        <v>0</v>
      </c>
    </row>
    <row r="6" spans="1:9" ht="15.75" customHeight="1">
      <c r="A6" s="10"/>
      <c r="B6" s="9" t="s">
        <v>225</v>
      </c>
      <c r="C6" s="11">
        <v>1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3">
        <f t="shared" si="0"/>
        <v>0</v>
      </c>
    </row>
    <row r="7" spans="1:9" ht="15.75" customHeight="1">
      <c r="A7" s="10"/>
      <c r="B7" s="9" t="s">
        <v>226</v>
      </c>
      <c r="C7" s="11">
        <v>2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3">
        <f t="shared" si="0"/>
        <v>0</v>
      </c>
    </row>
    <row r="8" spans="1:9" ht="15.75" customHeight="1">
      <c r="A8" s="10"/>
      <c r="B8" s="9" t="s">
        <v>227</v>
      </c>
      <c r="C8" s="11">
        <v>2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3">
        <f t="shared" si="0"/>
        <v>0</v>
      </c>
    </row>
    <row r="9" spans="1:9" ht="15.75" customHeight="1">
      <c r="B9" s="10"/>
    </row>
    <row r="10" spans="1:9" ht="15.75" customHeight="1">
      <c r="B10" s="4" t="s">
        <v>228</v>
      </c>
      <c r="C10" s="3">
        <f>SUM(C4:C8)</f>
        <v>10</v>
      </c>
      <c r="D10" s="3">
        <f>C10-SUM(D4:D8)</f>
        <v>10</v>
      </c>
      <c r="E10" s="3">
        <f>D10-SUM(E4:E8)</f>
        <v>10</v>
      </c>
      <c r="F10" s="3">
        <f>E10-SUM(F4:F8)</f>
        <v>10</v>
      </c>
      <c r="G10" s="3">
        <f>F10-SUM(G4:G8)</f>
        <v>10</v>
      </c>
      <c r="H10" s="3">
        <f>G10-SUM(H4:H8)</f>
        <v>10</v>
      </c>
    </row>
    <row r="11" spans="1:9" ht="15.75" customHeight="1">
      <c r="B11" s="4" t="s">
        <v>229</v>
      </c>
      <c r="C11" s="3">
        <f>SUM(C4:C8)</f>
        <v>10</v>
      </c>
      <c r="D11" s="3">
        <f>C11-(SUM(C4:C8)/5)</f>
        <v>8</v>
      </c>
      <c r="E11" s="3">
        <f>D11-(SUM(C4:C8)/5)</f>
        <v>6</v>
      </c>
      <c r="F11" s="3">
        <f>E11-(SUM(C4:C8)/5)</f>
        <v>4</v>
      </c>
      <c r="G11" s="3">
        <f>F11-(SUM(C4:C8)/5)</f>
        <v>2</v>
      </c>
      <c r="H11" s="3">
        <f>G11-(SUM(C4:C8)/5)</f>
        <v>0</v>
      </c>
    </row>
    <row r="12" spans="1:9" ht="15.75" customHeight="1"/>
    <row r="13" spans="1:9" ht="15.75" customHeight="1"/>
    <row r="14" spans="1:9" ht="15.75" customHeight="1"/>
    <row r="15" spans="1:9" ht="15.75" customHeight="1">
      <c r="B15" s="14"/>
      <c r="C15" s="27"/>
      <c r="D15" s="27"/>
      <c r="E15" s="27"/>
      <c r="F15" s="27"/>
      <c r="G15" s="27"/>
    </row>
    <row r="16" spans="1:9" ht="15.75" customHeight="1">
      <c r="B16" s="27"/>
      <c r="C16" s="27"/>
      <c r="D16" s="27"/>
      <c r="E16" s="27"/>
      <c r="F16" s="27"/>
      <c r="G16" s="27"/>
    </row>
    <row r="17" spans="2:7" ht="15.75" customHeight="1">
      <c r="B17" s="27"/>
      <c r="C17" s="27"/>
      <c r="D17" s="27"/>
      <c r="E17" s="27"/>
      <c r="F17" s="27"/>
      <c r="G17" s="27"/>
    </row>
    <row r="18" spans="2:7" ht="15.75" customHeight="1">
      <c r="B18" s="27"/>
      <c r="C18" s="27"/>
      <c r="D18" s="27"/>
      <c r="E18" s="27"/>
      <c r="F18" s="27"/>
      <c r="G18" s="27"/>
    </row>
    <row r="19" spans="2:7" ht="15.75" customHeight="1">
      <c r="B19" s="27"/>
      <c r="C19" s="27"/>
      <c r="D19" s="27"/>
      <c r="E19" s="27"/>
      <c r="F19" s="27"/>
      <c r="G19" s="27"/>
    </row>
    <row r="20" spans="2:7" ht="15.75" customHeight="1">
      <c r="B20" s="27"/>
      <c r="C20" s="27"/>
      <c r="D20" s="27"/>
      <c r="E20" s="27"/>
      <c r="F20" s="27"/>
      <c r="G20" s="27"/>
    </row>
    <row r="21" spans="2:7" ht="15.75" customHeight="1">
      <c r="B21" s="27"/>
      <c r="C21" s="27"/>
      <c r="D21" s="27"/>
      <c r="E21" s="27"/>
      <c r="F21" s="27"/>
      <c r="G21" s="27"/>
    </row>
    <row r="22" spans="2:7" ht="15.75" customHeight="1">
      <c r="B22" s="27"/>
      <c r="C22" s="27"/>
      <c r="D22" s="27"/>
      <c r="E22" s="27"/>
      <c r="F22" s="27"/>
      <c r="G22" s="27"/>
    </row>
    <row r="23" spans="2:7" ht="15.75" customHeight="1"/>
    <row r="24" spans="2:7" ht="15.75" customHeight="1"/>
    <row r="25" spans="2:7" ht="15.75" customHeight="1"/>
    <row r="26" spans="2:7" ht="15.75" customHeight="1"/>
    <row r="27" spans="2:7" ht="15.75" customHeight="1"/>
    <row r="28" spans="2:7" ht="15.75" customHeight="1"/>
    <row r="29" spans="2:7" ht="15.75" customHeight="1"/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/>
  <cp:revision/>
  <dcterms:created xsi:type="dcterms:W3CDTF">2023-06-05T13:12:31Z</dcterms:created>
  <dcterms:modified xsi:type="dcterms:W3CDTF">2025-12-11T04:49:27Z</dcterms:modified>
  <cp:category/>
  <cp:contentStatus/>
</cp:coreProperties>
</file>